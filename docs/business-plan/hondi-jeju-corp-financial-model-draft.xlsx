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매출추정" sheetId="2" state="visible" r:id="rId4"/>
    <sheet name="손익계산서" sheetId="3" state="visible" r:id="rId5"/>
    <sheet name="지분구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<sst xmlns="http://schemas.openxmlformats.org/spreadsheetml/2006/main" count="188" uniqueCount="128">
  <si>
    <r>
      <rPr>
        <b val="true"/>
        <sz val="14"/>
        <rFont val="Noto Sans CJK SC"/>
        <family val="2"/>
      </rPr>
      <t xml:space="preserve">혼디제주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가칭</t>
    </r>
    <r>
      <rPr>
        <b val="true"/>
        <sz val="14"/>
        <rFont val="Arial"/>
        <family val="0"/>
        <charset val="1"/>
      </rPr>
      <t xml:space="preserve">) 5</t>
    </r>
    <r>
      <rPr>
        <b val="true"/>
        <sz val="14"/>
        <rFont val="Noto Sans CJK SC"/>
        <family val="2"/>
      </rPr>
      <t xml:space="preserve">개년 사업계획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Noto Sans CJK SC"/>
        <family val="2"/>
      </rPr>
      <t xml:space="preserve">추정 기초가정</t>
    </r>
  </si>
  <si>
    <r>
      <rPr>
        <i val="true"/>
        <sz val="9"/>
        <color rgb="FF666666"/>
        <rFont val="Noto Sans CJK SC"/>
        <family val="2"/>
      </rPr>
      <t xml:space="preserve">※ 아래 수치는 사업계획 초안 작성을 위한 추정 가정치이며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실제 계약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시장 상황에 따라 변동됩니다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파란색 글자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SC"/>
        <family val="2"/>
      </rPr>
      <t xml:space="preserve">조정 가능한 입력값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</si>
  <si>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항목</t>
  </si>
  <si>
    <t xml:space="preserve">단위</t>
  </si>
  <si>
    <r>
      <rPr>
        <b val="true"/>
        <sz val="11"/>
        <color rgb="FFFFFFFF"/>
        <rFont val="Arial"/>
        <family val="0"/>
        <charset val="1"/>
      </rPr>
      <t xml:space="preserve">2027(1</t>
    </r>
    <r>
      <rPr>
        <b val="true"/>
        <sz val="11"/>
        <color rgb="FFFFFFFF"/>
        <rFont val="Noto Sans CJK SC"/>
        <family val="2"/>
      </rPr>
      <t xml:space="preserve">차연도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</si>
  <si>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2028(2</t>
    </r>
    <r>
      <rPr>
        <b val="true"/>
        <sz val="11"/>
        <color rgb="FFFFFFFF"/>
        <rFont val="Noto Sans CJK SC"/>
        <family val="2"/>
      </rPr>
      <t xml:space="preserve">차연도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</si>
  <si>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2029(3</t>
    </r>
    <r>
      <rPr>
        <b val="true"/>
        <sz val="11"/>
        <color rgb="FFFFFFFF"/>
        <rFont val="Noto Sans CJK SC"/>
        <family val="2"/>
      </rPr>
      <t xml:space="preserve">차연도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</si>
  <si>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2030(4</t>
    </r>
    <r>
      <rPr>
        <b val="true"/>
        <sz val="11"/>
        <color rgb="FFFFFFFF"/>
        <rFont val="Noto Sans CJK SC"/>
        <family val="2"/>
      </rPr>
      <t xml:space="preserve">차연도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</si>
  <si>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2031(5</t>
    </r>
    <r>
      <rPr>
        <b val="true"/>
        <sz val="11"/>
        <color rgb="FFFFFFFF"/>
        <rFont val="Noto Sans CJK SC"/>
        <family val="2"/>
      </rPr>
      <t xml:space="preserve">차연도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</si>
  <si>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비고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</si>
  <si>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행정 기능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정부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지자체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전환</t>
    </r>
    <r>
      <rPr>
        <b val="true"/>
        <sz val="10"/>
        <rFont val="Arial"/>
        <family val="0"/>
        <charset val="1"/>
      </rPr>
      <t xml:space="preserve">)</t>
    </r>
  </si>
  <si>
    <t xml:space="preserve">신규 구축 지자체 수</t>
  </si>
  <si>
    <t xml:space="preserve">개</t>
  </si>
  <si>
    <r>
      <rPr>
        <i val="true"/>
        <sz val="9"/>
        <color rgb="FF666666"/>
        <rFont val="Noto Sans CJK SC"/>
        <family val="2"/>
      </rPr>
      <t xml:space="preserve">제주도청</t>
    </r>
    <r>
      <rPr>
        <i val="true"/>
        <sz val="9"/>
        <color rgb="FF666666"/>
        <rFont val="Arial"/>
        <family val="0"/>
        <charset val="1"/>
      </rPr>
      <t xml:space="preserve">(1</t>
    </r>
    <r>
      <rPr>
        <i val="true"/>
        <sz val="9"/>
        <color rgb="FF666666"/>
        <rFont val="Noto Sans CJK SC"/>
        <family val="2"/>
      </rPr>
      <t xml:space="preserve">차</t>
    </r>
    <r>
      <rPr>
        <i val="true"/>
        <sz val="9"/>
        <color rgb="FF666666"/>
        <rFont val="Arial"/>
        <family val="0"/>
        <charset val="1"/>
      </rPr>
      <t xml:space="preserve">) </t>
    </r>
    <r>
      <rPr>
        <i val="true"/>
        <sz val="9"/>
        <color rgb="FF666666"/>
        <rFont val="Noto Sans CJK SC"/>
        <family val="2"/>
      </rPr>
      <t xml:space="preserve">이후 전국 지자체로 확산</t>
    </r>
  </si>
  <si>
    <t xml:space="preserve">지자체당 구축단가</t>
  </si>
  <si>
    <r>
      <rPr>
        <sz val="10"/>
        <color rgb="FF000000"/>
        <rFont val="Noto Sans CJK SC"/>
        <family val="2"/>
      </rPr>
      <t xml:space="preserve">백만원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개</t>
    </r>
  </si>
  <si>
    <r>
      <rPr>
        <i val="true"/>
        <sz val="9"/>
        <color rgb="FF666666"/>
        <rFont val="Noto Sans CJK SC"/>
        <family val="2"/>
      </rPr>
      <t xml:space="preserve">시스템 구축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연동 용역비 </t>
    </r>
    <r>
      <rPr>
        <i val="true"/>
        <sz val="9"/>
        <color rgb="FF666666"/>
        <rFont val="Arial"/>
        <family val="0"/>
        <charset val="1"/>
      </rPr>
      <t xml:space="preserve">(1</t>
    </r>
    <r>
      <rPr>
        <i val="true"/>
        <sz val="9"/>
        <color rgb="FF666666"/>
        <rFont val="Noto Sans CJK SC"/>
        <family val="2"/>
      </rPr>
      <t xml:space="preserve">회성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</si>
  <si>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지자체당 연간 유지보수단가</t>
  </si>
  <si>
    <r>
      <rPr>
        <sz val="10"/>
        <color rgb="FF000000"/>
        <rFont val="Noto Sans CJK SC"/>
        <family val="2"/>
      </rPr>
      <t xml:space="preserve">백만원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년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</si>
  <si>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금융 기능 </t>
    </r>
    <r>
      <rPr>
        <b val="true"/>
        <sz val="10"/>
        <rFont val="Arial"/>
        <family val="0"/>
        <charset val="1"/>
      </rPr>
      <t xml:space="preserve">(GDC </t>
    </r>
    <r>
      <rPr>
        <b val="true"/>
        <sz val="10"/>
        <rFont val="Noto Sans CJK SC"/>
        <family val="2"/>
      </rPr>
      <t xml:space="preserve">디지털화폐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</si>
  <si>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GDC </t>
    </r>
    <r>
      <rPr>
        <sz val="10"/>
        <color rgb="FF000000"/>
        <rFont val="Noto Sans CJK SC"/>
        <family val="2"/>
      </rPr>
      <t xml:space="preserve">연간 거래액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발행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결제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환전</t>
    </r>
    <r>
      <rPr>
        <sz val="10"/>
        <color rgb="FF000000"/>
        <rFont val="Arial"/>
        <family val="0"/>
        <charset val="1"/>
      </rPr>
      <t xml:space="preserve">)</t>
    </r>
  </si>
  <si>
    <t xml:space="preserve">백만원</t>
  </si>
  <si>
    <t xml:space="preserve">혼디 취급수수료율</t>
  </si>
  <si>
    <t xml:space="preserve">%</t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</si>
  <si>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Noto Sans CJK SC"/>
        <family val="2"/>
      </rPr>
      <t xml:space="preserve">교통 기능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자율주행 택시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</si>
  <si>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운행 차량 대수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누적</t>
    </r>
    <r>
      <rPr>
        <sz val="10"/>
        <color rgb="FF000000"/>
        <rFont val="Arial"/>
        <family val="0"/>
        <charset val="1"/>
      </rPr>
      <t xml:space="preserve">)</t>
    </r>
  </si>
  <si>
    <t xml:space="preserve">대</t>
  </si>
  <si>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차연도 제주 실증 → </t>
    </r>
    <r>
      <rPr>
        <i val="true"/>
        <sz val="9"/>
        <color rgb="FF666666"/>
        <rFont val="Arial"/>
        <family val="0"/>
        <charset val="1"/>
      </rPr>
      <t xml:space="preserve">5</t>
    </r>
    <r>
      <rPr>
        <i val="true"/>
        <sz val="9"/>
        <color rgb="FF666666"/>
        <rFont val="Noto Sans CJK SC"/>
        <family val="2"/>
      </rPr>
      <t xml:space="preserve">차연도 전국 </t>
    </r>
    <r>
      <rPr>
        <i val="true"/>
        <sz val="9"/>
        <color rgb="FF666666"/>
        <rFont val="Arial"/>
        <family val="0"/>
        <charset val="1"/>
      </rPr>
      <t xml:space="preserve">1,500</t>
    </r>
    <r>
      <rPr>
        <i val="true"/>
        <sz val="9"/>
        <color rgb="FF666666"/>
        <rFont val="Noto Sans CJK SC"/>
        <family val="2"/>
      </rPr>
      <t xml:space="preserve">대</t>
    </r>
  </si>
  <si>
    <t xml:space="preserve">대당 일 평균 운행매출</t>
  </si>
  <si>
    <r>
      <rPr>
        <sz val="10"/>
        <color rgb="FF000000"/>
        <rFont val="Noto Sans CJK SC"/>
        <family val="2"/>
      </rPr>
      <t xml:space="preserve">백만원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일</t>
    </r>
  </si>
  <si>
    <t xml:space="preserve">연간 가동일수</t>
  </si>
  <si>
    <t xml:space="preserve">일</t>
  </si>
  <si>
    <t xml:space="preserve">혼디 플랫폼 수수료율</t>
  </si>
  <si>
    <r>
      <rPr>
        <i val="true"/>
        <sz val="9"/>
        <color rgb="FF666666"/>
        <rFont val="Noto Sans CJK SC"/>
        <family val="2"/>
      </rPr>
      <t xml:space="preserve">차량은 리스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SC"/>
        <family val="2"/>
      </rPr>
      <t xml:space="preserve">파트너사 소유 가정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혼디는 배차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정산 플랫폼 수수료만 인식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</si>
  <si>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Noto Sans CJK SC"/>
        <family val="2"/>
      </rPr>
      <t xml:space="preserve">교육 기능 </t>
    </r>
    <r>
      <rPr>
        <b val="true"/>
        <sz val="10"/>
        <rFont val="Arial"/>
        <family val="0"/>
        <charset val="1"/>
      </rPr>
      <t xml:space="preserve">(K-School)</t>
    </r>
  </si>
  <si>
    <t xml:space="preserve">유료 가입자 수</t>
  </si>
  <si>
    <t xml:space="preserve">명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</si>
  <si>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인당 월 구독료</t>
    </r>
  </si>
  <si>
    <t xml:space="preserve">원</t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</si>
  <si>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Noto Sans CJK SC"/>
        <family val="2"/>
      </rPr>
      <t xml:space="preserve">의료 기능 </t>
    </r>
    <r>
      <rPr>
        <b val="true"/>
        <sz val="10"/>
        <rFont val="Arial"/>
        <family val="0"/>
        <charset val="1"/>
      </rPr>
      <t xml:space="preserve">(AI </t>
    </r>
    <r>
      <rPr>
        <b val="true"/>
        <sz val="10"/>
        <rFont val="Noto Sans CJK SC"/>
        <family val="2"/>
      </rPr>
      <t xml:space="preserve">진료보조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</si>
  <si>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라이선스 계약 병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의원 수</t>
    </r>
  </si>
  <si>
    <t xml:space="preserve">개소</t>
  </si>
  <si>
    <t xml:space="preserve">개소당 월 라이선스료</t>
  </si>
  <si>
    <r>
      <rPr>
        <b val="true"/>
        <sz val="10"/>
        <rFont val="Arial"/>
        <family val="0"/>
        <charset val="1"/>
      </rPr>
      <t xml:space="preserve">6. </t>
    </r>
    <r>
      <rPr>
        <b val="true"/>
        <sz val="10"/>
        <rFont val="Noto Sans CJK SC"/>
        <family val="2"/>
      </rPr>
      <t xml:space="preserve">시장 기능 </t>
    </r>
    <r>
      <rPr>
        <b val="true"/>
        <sz val="10"/>
        <rFont val="Arial"/>
        <family val="0"/>
        <charset val="1"/>
      </rPr>
      <t xml:space="preserve">(K-Market, </t>
    </r>
    <r>
      <rPr>
        <b val="true"/>
        <sz val="10"/>
        <rFont val="Noto Sans CJK SC"/>
        <family val="2"/>
      </rPr>
      <t xml:space="preserve">소상공인</t>
    </r>
    <r>
      <rPr>
        <b val="true"/>
        <sz val="10"/>
        <rFont val="Arial"/>
        <family val="0"/>
        <charset val="1"/>
      </rPr>
      <t xml:space="preserve">)</t>
    </r>
  </si>
  <si>
    <t xml:space="preserve">구독 소상공인 사업체 수</t>
  </si>
  <si>
    <t xml:space="preserve">개소당 월 구독료</t>
  </si>
  <si>
    <r>
      <rPr>
        <b val="true"/>
        <sz val="10"/>
        <rFont val="Arial"/>
        <family val="0"/>
        <charset val="1"/>
      </rPr>
      <t xml:space="preserve">7. </t>
    </r>
    <r>
      <rPr>
        <b val="true"/>
        <sz val="10"/>
        <rFont val="Noto Sans CJK SC"/>
        <family val="2"/>
      </rPr>
      <t xml:space="preserve">법원 기능 </t>
    </r>
    <r>
      <rPr>
        <b val="true"/>
        <sz val="10"/>
        <rFont val="Arial"/>
        <family val="0"/>
        <charset val="1"/>
      </rPr>
      <t xml:space="preserve">(K-Law)</t>
    </r>
  </si>
  <si>
    <r>
      <rPr>
        <sz val="10"/>
        <color rgb="FF000000"/>
        <rFont val="Noto Sans CJK SC"/>
        <family val="2"/>
      </rPr>
      <t xml:space="preserve">가상판결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조정 처리 건수</t>
    </r>
  </si>
  <si>
    <t xml:space="preserve">건</t>
  </si>
  <si>
    <t xml:space="preserve">건당 단가</t>
  </si>
  <si>
    <r>
      <rPr>
        <b val="true"/>
        <sz val="10"/>
        <rFont val="Arial"/>
        <family val="0"/>
        <charset val="1"/>
      </rPr>
      <t xml:space="preserve">8. </t>
    </r>
    <r>
      <rPr>
        <b val="true"/>
        <sz val="10"/>
        <rFont val="Noto Sans CJK SC"/>
        <family val="2"/>
      </rPr>
      <t xml:space="preserve">손익 공통 가정</t>
    </r>
  </si>
  <si>
    <r>
      <rPr>
        <sz val="10"/>
        <color rgb="FF000000"/>
        <rFont val="Noto Sans CJK SC"/>
        <family val="2"/>
      </rPr>
      <t xml:space="preserve">매출원가율</t>
    </r>
    <r>
      <rPr>
        <sz val="10"/>
        <color rgb="FF000000"/>
        <rFont val="Arial"/>
        <family val="0"/>
        <charset val="1"/>
      </rPr>
      <t xml:space="preserve">(AI </t>
    </r>
    <r>
      <rPr>
        <sz val="10"/>
        <color rgb="FF000000"/>
        <rFont val="Noto Sans CJK SC"/>
        <family val="2"/>
      </rPr>
      <t xml:space="preserve">인프라</t>
    </r>
    <r>
      <rPr>
        <sz val="10"/>
        <color rgb="FF000000"/>
        <rFont val="Arial"/>
        <family val="0"/>
        <charset val="1"/>
      </rPr>
      <t xml:space="preserve">/API </t>
    </r>
    <r>
      <rPr>
        <sz val="10"/>
        <color rgb="FF000000"/>
        <rFont val="Noto Sans CJK SC"/>
        <family val="2"/>
      </rPr>
      <t xml:space="preserve">등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</si>
  <si>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마케팅비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매출 대비</t>
    </r>
    <r>
      <rPr>
        <sz val="10"/>
        <color rgb="FF000000"/>
        <rFont val="Arial"/>
        <family val="0"/>
        <charset val="1"/>
      </rPr>
      <t xml:space="preserve">)</t>
    </r>
  </si>
  <si>
    <t xml:space="preserve">고정 관리비</t>
  </si>
  <si>
    <r>
      <rPr>
        <sz val="10"/>
        <color rgb="FF000000"/>
        <rFont val="Noto Sans CJK SC"/>
        <family val="2"/>
      </rPr>
      <t xml:space="preserve">백만원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년</t>
    </r>
  </si>
  <si>
    <r>
      <rPr>
        <i val="true"/>
        <sz val="9"/>
        <color rgb="FF666666"/>
        <rFont val="Noto Sans CJK SC"/>
        <family val="2"/>
      </rPr>
      <t xml:space="preserve">임차료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법무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회계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일반관리</t>
    </r>
  </si>
  <si>
    <r>
      <rPr>
        <sz val="10"/>
        <color rgb="FF000000"/>
        <rFont val="Noto Sans CJK SC"/>
        <family val="2"/>
      </rPr>
      <t xml:space="preserve">관리비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매출 대비 추가</t>
    </r>
    <r>
      <rPr>
        <sz val="10"/>
        <color rgb="FF000000"/>
        <rFont val="Arial"/>
        <family val="0"/>
        <charset val="1"/>
      </rPr>
      <t xml:space="preserve">)</t>
    </r>
  </si>
  <si>
    <t xml:space="preserve">법인세 실효세율</t>
  </si>
  <si>
    <r>
      <rPr>
        <i val="true"/>
        <sz val="9"/>
        <color rgb="FF666666"/>
        <rFont val="Noto Sans CJK SC"/>
        <family val="2"/>
      </rPr>
      <t xml:space="preserve">흑자 연도에만 적용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이월결손금 미반영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보수적 단순화</t>
    </r>
    <r>
      <rPr>
        <i val="true"/>
        <sz val="9"/>
        <color rgb="FF666666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</si>
  <si>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임직원 수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핵심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인 포함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</si>
  <si>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인당 평균 연간 인건비</t>
    </r>
  </si>
  <si>
    <r>
      <rPr>
        <sz val="10"/>
        <color rgb="FF000000"/>
        <rFont val="Noto Sans CJK SC"/>
        <family val="2"/>
      </rPr>
      <t xml:space="preserve">백만원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인</t>
    </r>
  </si>
  <si>
    <r>
      <rPr>
        <sz val="10"/>
        <color rgb="FF000000"/>
        <rFont val="Noto Sans CJK SC"/>
        <family val="2"/>
      </rPr>
      <t xml:space="preserve">설비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인프라 투자</t>
    </r>
    <r>
      <rPr>
        <sz val="10"/>
        <color rgb="FF000000"/>
        <rFont val="Arial"/>
        <family val="0"/>
        <charset val="1"/>
      </rPr>
      <t xml:space="preserve">(Capex)</t>
    </r>
  </si>
  <si>
    <r>
      <rPr>
        <i val="true"/>
        <sz val="9"/>
        <color rgb="FF666666"/>
        <rFont val="Noto Sans CJK SC"/>
        <family val="2"/>
      </rPr>
      <t xml:space="preserve">서버</t>
    </r>
    <r>
      <rPr>
        <i val="true"/>
        <sz val="9"/>
        <color rgb="FF666666"/>
        <rFont val="Arial"/>
        <family val="0"/>
        <charset val="1"/>
      </rPr>
      <t xml:space="preserve">/GPU </t>
    </r>
    <r>
      <rPr>
        <i val="true"/>
        <sz val="9"/>
        <color rgb="FF666666"/>
        <rFont val="Noto Sans CJK SC"/>
        <family val="2"/>
      </rPr>
      <t xml:space="preserve">임차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사무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SC"/>
        <family val="2"/>
      </rPr>
      <t xml:space="preserve">거점 인프라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자율주행 차량 자체 취득비는 별도 </t>
    </r>
    <r>
      <rPr>
        <i val="true"/>
        <sz val="9"/>
        <color rgb="FF666666"/>
        <rFont val="Arial"/>
        <family val="0"/>
        <charset val="1"/>
      </rPr>
      <t xml:space="preserve">SPV/</t>
    </r>
    <r>
      <rPr>
        <i val="true"/>
        <sz val="9"/>
        <color rgb="FF666666"/>
        <rFont val="Noto Sans CJK SC"/>
        <family val="2"/>
      </rPr>
      <t xml:space="preserve">리스 조달로 본 표에서 제외</t>
    </r>
  </si>
  <si>
    <r>
      <rPr>
        <b val="true"/>
        <sz val="14"/>
        <rFont val="Noto Sans CJK SC"/>
        <family val="2"/>
      </rPr>
      <t xml:space="preserve">부문별 매출 추정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단위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백만원</t>
    </r>
    <r>
      <rPr>
        <b val="true"/>
        <sz val="14"/>
        <rFont val="Arial"/>
        <family val="0"/>
        <charset val="1"/>
      </rPr>
      <t xml:space="preserve">)</t>
    </r>
  </si>
  <si>
    <t xml:space="preserve">구분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</si>
  <si>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행정 기능</t>
    </r>
  </si>
  <si>
    <t xml:space="preserve">누적 구축 지자체 수</t>
  </si>
  <si>
    <t xml:space="preserve">행정 매출</t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</si>
  <si>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금융 기능</t>
    </r>
    <r>
      <rPr>
        <b val="true"/>
        <sz val="10"/>
        <rFont val="Arial"/>
        <family val="0"/>
        <charset val="1"/>
      </rPr>
      <t xml:space="preserve">(GDC)</t>
    </r>
  </si>
  <si>
    <t xml:space="preserve">금융 매출</t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</si>
  <si>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Noto Sans CJK SC"/>
        <family val="2"/>
      </rPr>
      <t xml:space="preserve">교통 기능</t>
    </r>
  </si>
  <si>
    <r>
      <rPr>
        <sz val="10"/>
        <color rgb="FF000000"/>
        <rFont val="Noto Sans CJK SC"/>
        <family val="2"/>
      </rPr>
      <t xml:space="preserve">총 운행매출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참고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</si>
  <si>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교통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플랫폼수수료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매출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</si>
  <si>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Noto Sans CJK SC"/>
        <family val="2"/>
      </rPr>
      <t xml:space="preserve">교육 기능</t>
    </r>
    <r>
      <rPr>
        <b val="true"/>
        <sz val="10"/>
        <rFont val="Arial"/>
        <family val="0"/>
        <charset val="1"/>
      </rPr>
      <t xml:space="preserve">(K-School)</t>
    </r>
  </si>
  <si>
    <t xml:space="preserve">교육 매출</t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</si>
  <si>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Noto Sans CJK SC"/>
        <family val="2"/>
      </rPr>
      <t xml:space="preserve">의료 기능</t>
    </r>
  </si>
  <si>
    <t xml:space="preserve">의료 매출</t>
  </si>
  <si>
    <r>
      <rPr>
        <b val="true"/>
        <sz val="10"/>
        <rFont val="Arial"/>
        <family val="0"/>
        <charset val="1"/>
      </rPr>
      <t xml:space="preserve">6. </t>
    </r>
    <r>
      <rPr>
        <b val="true"/>
        <sz val="10"/>
        <rFont val="Noto Sans CJK SC"/>
        <family val="2"/>
      </rPr>
      <t xml:space="preserve">시장 기능</t>
    </r>
    <r>
      <rPr>
        <b val="true"/>
        <sz val="10"/>
        <rFont val="Arial"/>
        <family val="0"/>
        <charset val="1"/>
      </rPr>
      <t xml:space="preserve">(K-Market)</t>
    </r>
  </si>
  <si>
    <t xml:space="preserve">시장 매출</t>
  </si>
  <si>
    <r>
      <rPr>
        <b val="true"/>
        <sz val="10"/>
        <rFont val="Arial"/>
        <family val="0"/>
        <charset val="1"/>
      </rPr>
      <t xml:space="preserve">7. </t>
    </r>
    <r>
      <rPr>
        <b val="true"/>
        <sz val="10"/>
        <rFont val="Noto Sans CJK SC"/>
        <family val="2"/>
      </rPr>
      <t xml:space="preserve">법원 기능</t>
    </r>
    <r>
      <rPr>
        <b val="true"/>
        <sz val="10"/>
        <rFont val="Arial"/>
        <family val="0"/>
        <charset val="1"/>
      </rPr>
      <t xml:space="preserve">(K-Law)</t>
    </r>
  </si>
  <si>
    <t xml:space="preserve">법원 매출</t>
  </si>
  <si>
    <t xml:space="preserve">총계</t>
  </si>
  <si>
    <t xml:space="preserve">총매출액</t>
  </si>
  <si>
    <r>
      <rPr>
        <sz val="10"/>
        <color rgb="FF000000"/>
        <rFont val="Noto Sans CJK SC"/>
        <family val="2"/>
      </rPr>
      <t xml:space="preserve">부문별 매출 비중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행정</t>
    </r>
  </si>
  <si>
    <r>
      <rPr>
        <sz val="10"/>
        <color rgb="FF000000"/>
        <rFont val="Noto Sans CJK SC"/>
        <family val="2"/>
      </rPr>
      <t xml:space="preserve">부문별 매출 비중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금융</t>
    </r>
  </si>
  <si>
    <r>
      <rPr>
        <sz val="10"/>
        <color rgb="FF000000"/>
        <rFont val="Noto Sans CJK SC"/>
        <family val="2"/>
      </rPr>
      <t xml:space="preserve">부문별 매출 비중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교통</t>
    </r>
  </si>
  <si>
    <r>
      <rPr>
        <sz val="10"/>
        <color rgb="FF000000"/>
        <rFont val="Noto Sans CJK SC"/>
        <family val="2"/>
      </rPr>
      <t xml:space="preserve">부문별 매출 비중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교육</t>
    </r>
  </si>
  <si>
    <r>
      <rPr>
        <sz val="10"/>
        <color rgb="FF000000"/>
        <rFont val="Noto Sans CJK SC"/>
        <family val="2"/>
      </rPr>
      <t xml:space="preserve">부문별 매출 비중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의료</t>
    </r>
  </si>
  <si>
    <r>
      <rPr>
        <sz val="10"/>
        <color rgb="FF000000"/>
        <rFont val="Noto Sans CJK SC"/>
        <family val="2"/>
      </rPr>
      <t xml:space="preserve">부문별 매출 비중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시장</t>
    </r>
  </si>
  <si>
    <r>
      <rPr>
        <sz val="10"/>
        <color rgb="FF000000"/>
        <rFont val="Noto Sans CJK SC"/>
        <family val="2"/>
      </rPr>
      <t xml:space="preserve">부문별 매출 비중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Noto Sans CJK SC"/>
        <family val="2"/>
      </rPr>
      <t xml:space="preserve">법원</t>
    </r>
  </si>
  <si>
    <r>
      <rPr>
        <b val="true"/>
        <sz val="14"/>
        <rFont val="Noto Sans CJK SC"/>
        <family val="2"/>
      </rPr>
      <t xml:space="preserve">추정 손익계산서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단위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Noto Sans CJK SC"/>
        <family val="2"/>
      </rPr>
      <t xml:space="preserve">백만원</t>
    </r>
    <r>
      <rPr>
        <b val="true"/>
        <sz val="14"/>
        <rFont val="Arial"/>
        <family val="0"/>
        <charset val="1"/>
      </rPr>
      <t xml:space="preserve">)</t>
    </r>
  </si>
  <si>
    <t xml:space="preserve">과목</t>
  </si>
  <si>
    <t xml:space="preserve">매출액</t>
  </si>
  <si>
    <t xml:space="preserve">매출원가</t>
  </si>
  <si>
    <t xml:space="preserve">매출총이익</t>
  </si>
  <si>
    <t xml:space="preserve">판매관리비</t>
  </si>
  <si>
    <t xml:space="preserve">인건비</t>
  </si>
  <si>
    <t xml:space="preserve">마케팅비</t>
  </si>
  <si>
    <t xml:space="preserve">관리비</t>
  </si>
  <si>
    <t xml:space="preserve">판관비 합계</t>
  </si>
  <si>
    <r>
      <rPr>
        <b val="true"/>
        <sz val="10"/>
        <rFont val="Noto Sans CJK SC"/>
        <family val="2"/>
      </rPr>
      <t xml:space="preserve">영업이익</t>
    </r>
    <r>
      <rPr>
        <b val="true"/>
        <sz val="10"/>
        <rFont val="Arial"/>
        <family val="0"/>
        <charset val="1"/>
      </rPr>
      <t xml:space="preserve">(EBIT)</t>
    </r>
  </si>
  <si>
    <t xml:space="preserve">영업이익률</t>
  </si>
  <si>
    <t xml:space="preserve">법인세비용</t>
  </si>
  <si>
    <t xml:space="preserve">당기순이익</t>
  </si>
  <si>
    <t xml:space="preserve">누적 당기순이익</t>
  </si>
  <si>
    <r>
      <rPr>
        <b val="true"/>
        <sz val="10"/>
        <rFont val="Noto Sans CJK SC"/>
        <family val="2"/>
      </rPr>
      <t xml:space="preserve">참고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SC"/>
        <family val="2"/>
      </rPr>
      <t xml:space="preserve">투자 및 자금</t>
    </r>
  </si>
  <si>
    <r>
      <rPr>
        <sz val="10"/>
        <color rgb="FF000000"/>
        <rFont val="Noto Sans CJK SC"/>
        <family val="2"/>
      </rPr>
      <t xml:space="preserve">연도말 현금영향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순이익</t>
    </r>
    <r>
      <rPr>
        <sz val="10"/>
        <color rgb="FF000000"/>
        <rFont val="Arial"/>
        <family val="0"/>
        <charset val="1"/>
      </rPr>
      <t xml:space="preserve">-Capex, </t>
    </r>
    <r>
      <rPr>
        <sz val="10"/>
        <color rgb="FF000000"/>
        <rFont val="Noto Sans CJK SC"/>
        <family val="2"/>
      </rPr>
      <t xml:space="preserve">세전운전자금 제외 단순화</t>
    </r>
    <r>
      <rPr>
        <sz val="10"/>
        <color rgb="FF000000"/>
        <rFont val="Arial"/>
        <family val="0"/>
        <charset val="1"/>
      </rPr>
      <t xml:space="preserve">)</t>
    </r>
  </si>
  <si>
    <t xml:space="preserve">누적 현금영향</t>
  </si>
  <si>
    <r>
      <rPr>
        <i val="true"/>
        <sz val="9"/>
        <color rgb="FF666666"/>
        <rFont val="Noto Sans CJK SC"/>
        <family val="2"/>
      </rPr>
      <t xml:space="preserve">가정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자본금 </t>
    </r>
    <r>
      <rPr>
        <i val="true"/>
        <sz val="9"/>
        <color rgb="FF666666"/>
        <rFont val="Arial"/>
        <family val="0"/>
        <charset val="1"/>
      </rPr>
      <t xml:space="preserve">100</t>
    </r>
    <r>
      <rPr>
        <i val="true"/>
        <sz val="9"/>
        <color rgb="FF666666"/>
        <rFont val="Noto Sans CJK SC"/>
        <family val="2"/>
      </rPr>
      <t xml:space="preserve">백만원 </t>
    </r>
    <r>
      <rPr>
        <i val="true"/>
        <sz val="9"/>
        <color rgb="FF666666"/>
        <rFont val="Arial"/>
        <family val="0"/>
        <charset val="1"/>
      </rPr>
      <t xml:space="preserve">+ </t>
    </r>
    <r>
      <rPr>
        <i val="true"/>
        <sz val="9"/>
        <color rgb="FF666666"/>
        <rFont val="Noto Sans CJK SC"/>
        <family val="2"/>
      </rPr>
      <t xml:space="preserve">기술보증기금 등 정책자금 </t>
    </r>
    <r>
      <rPr>
        <i val="true"/>
        <sz val="9"/>
        <color rgb="FF666666"/>
        <rFont val="Arial"/>
        <family val="0"/>
        <charset val="1"/>
      </rPr>
      <t xml:space="preserve">1,000</t>
    </r>
    <r>
      <rPr>
        <i val="true"/>
        <sz val="9"/>
        <color rgb="FF666666"/>
        <rFont val="Noto Sans CJK SC"/>
        <family val="2"/>
      </rPr>
      <t xml:space="preserve">백만원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부채성</t>
    </r>
    <r>
      <rPr>
        <i val="true"/>
        <sz val="9"/>
        <color rgb="FF666666"/>
        <rFont val="Arial"/>
        <family val="0"/>
        <charset val="1"/>
      </rPr>
      <t xml:space="preserve">) = </t>
    </r>
    <r>
      <rPr>
        <i val="true"/>
        <sz val="9"/>
        <color rgb="FF666666"/>
        <rFont val="Noto Sans CJK SC"/>
        <family val="2"/>
      </rPr>
      <t xml:space="preserve">총 가용자금 </t>
    </r>
    <r>
      <rPr>
        <i val="true"/>
        <sz val="9"/>
        <color rgb="FF666666"/>
        <rFont val="Arial"/>
        <family val="0"/>
        <charset val="1"/>
      </rPr>
      <t xml:space="preserve">1,100</t>
    </r>
    <r>
      <rPr>
        <i val="true"/>
        <sz val="9"/>
        <color rgb="FF666666"/>
        <rFont val="Noto Sans CJK SC"/>
        <family val="2"/>
      </rPr>
      <t xml:space="preserve">백만원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</si>
  <si>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차연도 영업손실 및 초기 </t>
    </r>
    <r>
      <rPr>
        <i val="true"/>
        <sz val="9"/>
        <color rgb="FF666666"/>
        <rFont val="Arial"/>
        <family val="0"/>
        <charset val="1"/>
      </rPr>
      <t xml:space="preserve">Capex</t>
    </r>
    <r>
      <rPr>
        <i val="true"/>
        <sz val="9"/>
        <color rgb="FF666666"/>
        <rFont val="Noto Sans CJK SC"/>
        <family val="2"/>
      </rPr>
      <t xml:space="preserve">는 이 재원으로 충당하며</t>
    </r>
    <r>
      <rPr>
        <i val="true"/>
        <sz val="9"/>
        <color rgb="FF666666"/>
        <rFont val="Arial"/>
        <family val="0"/>
        <charset val="1"/>
      </rPr>
      <t xml:space="preserve">, 2</t>
    </r>
    <r>
      <rPr>
        <i val="true"/>
        <sz val="9"/>
        <color rgb="FF666666"/>
        <rFont val="Noto Sans CJK SC"/>
        <family val="2"/>
      </rPr>
      <t xml:space="preserve">차연도부터 흑자 전환을 가정한 시나리오임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공격적 확산 전제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보수적 시나리오는 별도 검토 필요</t>
    </r>
    <r>
      <rPr>
        <i val="true"/>
        <sz val="9"/>
        <color rgb="FF666666"/>
        <rFont val="Arial"/>
        <family val="0"/>
        <charset val="1"/>
      </rPr>
      <t xml:space="preserve">).</t>
    </r>
  </si>
  <si>
    <t xml:space="preserve">자본금 및 지분 구조</t>
  </si>
  <si>
    <t xml:space="preserve">주주</t>
  </si>
  <si>
    <t xml:space="preserve">지분율</t>
  </si>
  <si>
    <r>
      <rPr>
        <b val="true"/>
        <sz val="11"/>
        <color rgb="FFFFFFFF"/>
        <rFont val="Noto Sans CJK SC"/>
        <family val="2"/>
      </rPr>
      <t xml:space="preserve">출자금액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</si>
  <si>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AI City Inc.</t>
  </si>
  <si>
    <t xml:space="preserve">법인주주</t>
  </si>
  <si>
    <r>
      <rPr>
        <sz val="11"/>
        <color theme="1"/>
        <rFont val="Noto Sans CJK SC"/>
        <family val="2"/>
      </rPr>
      <t xml:space="preserve">최대주주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경영 총괄</t>
    </r>
  </si>
  <si>
    <t xml:space="preserve">배정 미정</t>
  </si>
  <si>
    <r>
      <rPr>
        <sz val="10"/>
        <color rgb="FF000000"/>
        <rFont val="Noto Sans CJK SC"/>
        <family val="2"/>
      </rPr>
      <t xml:space="preserve">개인주주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미정</t>
    </r>
    <r>
      <rPr>
        <sz val="10"/>
        <color rgb="FF000000"/>
        <rFont val="Arial"/>
        <family val="0"/>
        <charset val="1"/>
      </rPr>
      <t xml:space="preserve">)</t>
    </r>
  </si>
  <si>
    <t xml:space="preserve">대표이사 및 참여 인원 배정 추후 확정</t>
  </si>
  <si>
    <t xml:space="preserve">합계</t>
  </si>
  <si>
    <r>
      <rPr>
        <b val="true"/>
        <sz val="10"/>
        <rFont val="Noto Sans CJK SC"/>
        <family val="2"/>
      </rPr>
      <t xml:space="preserve">별도 조달 예정 자금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부채성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지분 아님</t>
    </r>
    <r>
      <rPr>
        <b val="true"/>
        <sz val="10"/>
        <rFont val="Arial"/>
        <family val="0"/>
        <charset val="1"/>
      </rPr>
      <t xml:space="preserve">)</t>
    </r>
  </si>
  <si>
    <t xml:space="preserve">재원</t>
  </si>
  <si>
    <r>
      <rPr>
        <b val="true"/>
        <sz val="11"/>
        <color rgb="FFFFFFFF"/>
        <rFont val="Noto Sans CJK SC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백만원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</si>
  <si>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용도</t>
  </si>
  <si>
    <t xml:space="preserve">한국기술신용보증기금 보증부 대출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</si>
  <si>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차연도 운영자금 및 초기 인프라 투자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</si>
</sst>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7" min="3" style="0" width="15"/>
    <col collapsed="false" customWidth="true" hidden="false" outlineLevel="0" max="8" min="8" style="0" width="4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3" t="s">
        <v>9</v>
      </c>
    </row>
    <row r="5" customFormat="false" ht="15" hidden="false" customHeight="false" outlineLevel="0" collapsed="false">
      <c r="A5" s="5" t="s">
        <v>10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s">
        <v>11</v>
      </c>
      <c r="B6" s="7" t="s">
        <v>12</v>
      </c>
      <c r="C6" s="8" t="n">
        <v>1</v>
      </c>
      <c r="D6" s="8" t="n">
        <v>2</v>
      </c>
      <c r="E6" s="8" t="n">
        <v>5</v>
      </c>
      <c r="F6" s="8" t="n">
        <v>10</v>
      </c>
      <c r="G6" s="8" t="n">
        <v>15</v>
      </c>
      <c r="H6" s="2" t="s">
        <v>13</v>
      </c>
    </row>
    <row r="7" customFormat="false" ht="15" hidden="false" customHeight="false" outlineLevel="0" collapsed="false">
      <c r="A7" s="6" t="s">
        <v>14</v>
      </c>
      <c r="B7" s="7" t="s">
        <v>15</v>
      </c>
      <c r="C7" s="8" t="n">
        <v>300</v>
      </c>
      <c r="D7" s="9"/>
      <c r="E7" s="9"/>
      <c r="F7" s="9"/>
      <c r="G7" s="9"/>
      <c r="H7" s="2" t="s">
        <v>16</v>
      </c>
    </row>
    <row r="8" customFormat="false" ht="15" hidden="false" customHeight="false" outlineLevel="0" collapsed="false">
      <c r="A8" s="6" t="s">
        <v>17</v>
      </c>
      <c r="B8" s="7" t="s">
        <v>18</v>
      </c>
      <c r="C8" s="8" t="n">
        <v>40</v>
      </c>
      <c r="D8" s="9"/>
      <c r="E8" s="9"/>
      <c r="F8" s="9"/>
      <c r="G8" s="9"/>
    </row>
    <row r="10" customFormat="false" ht="15" hidden="false" customHeight="false" outlineLevel="0" collapsed="false">
      <c r="A10" s="5" t="s">
        <v>19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10" t="s">
        <v>20</v>
      </c>
      <c r="B11" s="7" t="s">
        <v>21</v>
      </c>
      <c r="C11" s="8" t="n">
        <v>3000</v>
      </c>
      <c r="D11" s="8" t="n">
        <v>12000</v>
      </c>
      <c r="E11" s="8" t="n">
        <v>40000</v>
      </c>
      <c r="F11" s="8" t="n">
        <v>100000</v>
      </c>
      <c r="G11" s="8" t="n">
        <v>200000</v>
      </c>
    </row>
    <row r="12" customFormat="false" ht="15" hidden="false" customHeight="false" outlineLevel="0" collapsed="false">
      <c r="A12" s="6" t="s">
        <v>22</v>
      </c>
      <c r="B12" s="11" t="s">
        <v>23</v>
      </c>
      <c r="C12" s="12" t="n">
        <v>0.015</v>
      </c>
      <c r="D12" s="9"/>
      <c r="E12" s="9"/>
      <c r="F12" s="9"/>
      <c r="G12" s="9"/>
    </row>
    <row r="14" customFormat="false" ht="15" hidden="false" customHeight="false" outlineLevel="0" collapsed="false">
      <c r="A14" s="5" t="s">
        <v>24</v>
      </c>
      <c r="B14" s="5"/>
      <c r="C14" s="5"/>
      <c r="D14" s="5"/>
      <c r="E14" s="5"/>
      <c r="F14" s="5"/>
      <c r="G14" s="5"/>
    </row>
    <row r="15" customFormat="false" ht="15" hidden="false" customHeight="false" outlineLevel="0" collapsed="false">
      <c r="A15" s="6" t="s">
        <v>25</v>
      </c>
      <c r="B15" s="7" t="s">
        <v>26</v>
      </c>
      <c r="C15" s="8" t="n">
        <v>50</v>
      </c>
      <c r="D15" s="8" t="n">
        <v>200</v>
      </c>
      <c r="E15" s="8" t="n">
        <v>1000</v>
      </c>
      <c r="F15" s="8" t="n">
        <v>1000</v>
      </c>
      <c r="G15" s="8" t="n">
        <v>1500</v>
      </c>
      <c r="H15" s="13" t="s">
        <v>27</v>
      </c>
    </row>
    <row r="16" customFormat="false" ht="15" hidden="false" customHeight="false" outlineLevel="0" collapsed="false">
      <c r="A16" s="6" t="s">
        <v>28</v>
      </c>
      <c r="B16" s="7" t="s">
        <v>29</v>
      </c>
      <c r="C16" s="8" t="n">
        <v>0.15</v>
      </c>
      <c r="D16" s="9"/>
      <c r="E16" s="9"/>
      <c r="F16" s="9"/>
      <c r="G16" s="9"/>
    </row>
    <row r="17" customFormat="false" ht="15" hidden="false" customHeight="false" outlineLevel="0" collapsed="false">
      <c r="A17" s="6" t="s">
        <v>30</v>
      </c>
      <c r="B17" s="7" t="s">
        <v>31</v>
      </c>
      <c r="C17" s="8" t="n">
        <v>330</v>
      </c>
      <c r="D17" s="9"/>
      <c r="E17" s="9"/>
      <c r="F17" s="9"/>
      <c r="G17" s="9"/>
    </row>
    <row r="18" customFormat="false" ht="15" hidden="false" customHeight="false" outlineLevel="0" collapsed="false">
      <c r="A18" s="6" t="s">
        <v>32</v>
      </c>
      <c r="B18" s="11" t="s">
        <v>23</v>
      </c>
      <c r="C18" s="12" t="n">
        <v>0.15</v>
      </c>
      <c r="D18" s="9"/>
      <c r="E18" s="9"/>
      <c r="F18" s="9"/>
      <c r="G18" s="9"/>
      <c r="H18" s="2" t="s">
        <v>33</v>
      </c>
    </row>
    <row r="20" customFormat="false" ht="15" hidden="false" customHeight="false" outlineLevel="0" collapsed="false">
      <c r="A20" s="5" t="s">
        <v>34</v>
      </c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6" t="s">
        <v>35</v>
      </c>
      <c r="B21" s="7" t="s">
        <v>36</v>
      </c>
      <c r="C21" s="8" t="n">
        <v>1000</v>
      </c>
      <c r="D21" s="8" t="n">
        <v>5000</v>
      </c>
      <c r="E21" s="8" t="n">
        <v>20000</v>
      </c>
      <c r="F21" s="8" t="n">
        <v>60000</v>
      </c>
      <c r="G21" s="8" t="n">
        <v>120000</v>
      </c>
    </row>
    <row r="22" customFormat="false" ht="15" hidden="false" customHeight="false" outlineLevel="0" collapsed="false">
      <c r="A22" s="10" t="s">
        <v>37</v>
      </c>
      <c r="B22" s="7" t="s">
        <v>38</v>
      </c>
      <c r="C22" s="8" t="n">
        <v>9900</v>
      </c>
      <c r="D22" s="9"/>
      <c r="E22" s="9"/>
      <c r="F22" s="9"/>
      <c r="G22" s="9"/>
    </row>
    <row r="24" customFormat="false" ht="15" hidden="false" customHeight="false" outlineLevel="0" collapsed="false">
      <c r="A24" s="5" t="s">
        <v>39</v>
      </c>
      <c r="B24" s="5"/>
      <c r="C24" s="5"/>
      <c r="D24" s="5"/>
      <c r="E24" s="5"/>
      <c r="F24" s="5"/>
      <c r="G24" s="5"/>
    </row>
    <row r="25" customFormat="false" ht="15" hidden="false" customHeight="false" outlineLevel="0" collapsed="false">
      <c r="A25" s="6" t="s">
        <v>40</v>
      </c>
      <c r="B25" s="7" t="s">
        <v>41</v>
      </c>
      <c r="C25" s="8" t="n">
        <v>10</v>
      </c>
      <c r="D25" s="8" t="n">
        <v>40</v>
      </c>
      <c r="E25" s="8" t="n">
        <v>150</v>
      </c>
      <c r="F25" s="8" t="n">
        <v>400</v>
      </c>
      <c r="G25" s="8" t="n">
        <v>800</v>
      </c>
    </row>
    <row r="26" customFormat="false" ht="15" hidden="false" customHeight="false" outlineLevel="0" collapsed="false">
      <c r="A26" s="6" t="s">
        <v>42</v>
      </c>
      <c r="B26" s="7" t="s">
        <v>38</v>
      </c>
      <c r="C26" s="8" t="n">
        <v>300000</v>
      </c>
      <c r="D26" s="9"/>
      <c r="E26" s="9"/>
      <c r="F26" s="9"/>
      <c r="G26" s="9"/>
    </row>
    <row r="28" customFormat="false" ht="15" hidden="false" customHeight="false" outlineLevel="0" collapsed="false">
      <c r="A28" s="5" t="s">
        <v>43</v>
      </c>
      <c r="B28" s="5"/>
      <c r="C28" s="5"/>
      <c r="D28" s="5"/>
      <c r="E28" s="5"/>
      <c r="F28" s="5"/>
      <c r="G28" s="5"/>
    </row>
    <row r="29" customFormat="false" ht="15" hidden="false" customHeight="false" outlineLevel="0" collapsed="false">
      <c r="A29" s="6" t="s">
        <v>44</v>
      </c>
      <c r="B29" s="7" t="s">
        <v>41</v>
      </c>
      <c r="C29" s="8" t="n">
        <v>500</v>
      </c>
      <c r="D29" s="8" t="n">
        <v>3000</v>
      </c>
      <c r="E29" s="8" t="n">
        <v>15000</v>
      </c>
      <c r="F29" s="8" t="n">
        <v>50000</v>
      </c>
      <c r="G29" s="8" t="n">
        <v>100000</v>
      </c>
    </row>
    <row r="30" customFormat="false" ht="15" hidden="false" customHeight="false" outlineLevel="0" collapsed="false">
      <c r="A30" s="6" t="s">
        <v>45</v>
      </c>
      <c r="B30" s="7" t="s">
        <v>38</v>
      </c>
      <c r="C30" s="8" t="n">
        <v>29900</v>
      </c>
      <c r="D30" s="9"/>
      <c r="E30" s="9"/>
      <c r="F30" s="9"/>
      <c r="G30" s="9"/>
    </row>
    <row r="32" customFormat="false" ht="15" hidden="false" customHeight="false" outlineLevel="0" collapsed="false">
      <c r="A32" s="5" t="s">
        <v>46</v>
      </c>
      <c r="B32" s="5"/>
      <c r="C32" s="5"/>
      <c r="D32" s="5"/>
      <c r="E32" s="5"/>
      <c r="F32" s="5"/>
      <c r="G32" s="5"/>
    </row>
    <row r="33" customFormat="false" ht="15" hidden="false" customHeight="false" outlineLevel="0" collapsed="false">
      <c r="A33" s="6" t="s">
        <v>47</v>
      </c>
      <c r="B33" s="7" t="s">
        <v>48</v>
      </c>
      <c r="C33" s="8" t="n">
        <v>200</v>
      </c>
      <c r="D33" s="8" t="n">
        <v>1000</v>
      </c>
      <c r="E33" s="8" t="n">
        <v>4000</v>
      </c>
      <c r="F33" s="8" t="n">
        <v>10000</v>
      </c>
      <c r="G33" s="8" t="n">
        <v>20000</v>
      </c>
    </row>
    <row r="34" customFormat="false" ht="15" hidden="false" customHeight="false" outlineLevel="0" collapsed="false">
      <c r="A34" s="6" t="s">
        <v>49</v>
      </c>
      <c r="B34" s="7" t="s">
        <v>38</v>
      </c>
      <c r="C34" s="8" t="n">
        <v>25000</v>
      </c>
      <c r="D34" s="9"/>
      <c r="E34" s="9"/>
      <c r="F34" s="9"/>
      <c r="G34" s="9"/>
    </row>
    <row r="36" customFormat="false" ht="15" hidden="false" customHeight="false" outlineLevel="0" collapsed="false">
      <c r="A36" s="5" t="s">
        <v>50</v>
      </c>
      <c r="B36" s="5"/>
      <c r="C36" s="5"/>
      <c r="D36" s="5"/>
      <c r="E36" s="5"/>
      <c r="F36" s="5"/>
      <c r="G36" s="5"/>
    </row>
    <row r="37" customFormat="false" ht="15" hidden="false" customHeight="false" outlineLevel="0" collapsed="false">
      <c r="A37" s="6" t="s">
        <v>51</v>
      </c>
      <c r="B37" s="11" t="s">
        <v>23</v>
      </c>
      <c r="C37" s="12" t="n">
        <v>0.3</v>
      </c>
      <c r="D37" s="9"/>
      <c r="E37" s="9"/>
      <c r="F37" s="9"/>
      <c r="G37" s="9"/>
    </row>
    <row r="38" customFormat="false" ht="15" hidden="false" customHeight="false" outlineLevel="0" collapsed="false">
      <c r="A38" s="6" t="s">
        <v>52</v>
      </c>
      <c r="B38" s="11" t="s">
        <v>23</v>
      </c>
      <c r="C38" s="12" t="n">
        <v>0.05</v>
      </c>
      <c r="D38" s="9"/>
      <c r="E38" s="9"/>
      <c r="F38" s="9"/>
      <c r="G38" s="9"/>
    </row>
    <row r="39" customFormat="false" ht="15" hidden="false" customHeight="false" outlineLevel="0" collapsed="false">
      <c r="A39" s="6" t="s">
        <v>53</v>
      </c>
      <c r="B39" s="7" t="s">
        <v>54</v>
      </c>
      <c r="C39" s="8" t="n">
        <v>150</v>
      </c>
      <c r="D39" s="9"/>
      <c r="E39" s="9"/>
      <c r="F39" s="9"/>
      <c r="G39" s="9"/>
      <c r="H39" s="2" t="s">
        <v>55</v>
      </c>
    </row>
    <row r="40" customFormat="false" ht="15" hidden="false" customHeight="false" outlineLevel="0" collapsed="false">
      <c r="A40" s="6" t="s">
        <v>56</v>
      </c>
      <c r="B40" s="11" t="s">
        <v>23</v>
      </c>
      <c r="C40" s="12" t="n">
        <v>0.01</v>
      </c>
      <c r="D40" s="9"/>
      <c r="E40" s="9"/>
      <c r="F40" s="9"/>
      <c r="G40" s="9"/>
    </row>
    <row r="41" customFormat="false" ht="15" hidden="false" customHeight="false" outlineLevel="0" collapsed="false">
      <c r="A41" s="6" t="s">
        <v>57</v>
      </c>
      <c r="B41" s="11" t="s">
        <v>23</v>
      </c>
      <c r="C41" s="12" t="n">
        <v>0.2</v>
      </c>
      <c r="D41" s="9"/>
      <c r="E41" s="9"/>
      <c r="F41" s="9"/>
      <c r="G41" s="9"/>
      <c r="H41" s="2" t="s">
        <v>58</v>
      </c>
    </row>
    <row r="42" customFormat="false" ht="15" hidden="false" customHeight="false" outlineLevel="0" collapsed="false">
      <c r="A42" s="6" t="s">
        <v>59</v>
      </c>
      <c r="B42" s="7" t="s">
        <v>36</v>
      </c>
      <c r="C42" s="8" t="n">
        <v>19</v>
      </c>
      <c r="D42" s="8" t="n">
        <v>39</v>
      </c>
      <c r="E42" s="8" t="n">
        <v>100</v>
      </c>
      <c r="F42" s="8" t="n">
        <v>250</v>
      </c>
      <c r="G42" s="8" t="n">
        <v>400</v>
      </c>
    </row>
    <row r="43" customFormat="false" ht="15" hidden="false" customHeight="false" outlineLevel="0" collapsed="false">
      <c r="A43" s="10" t="s">
        <v>60</v>
      </c>
      <c r="B43" s="7" t="s">
        <v>61</v>
      </c>
      <c r="C43" s="8" t="n">
        <v>50</v>
      </c>
      <c r="D43" s="8" t="n">
        <v>45</v>
      </c>
      <c r="E43" s="8" t="n">
        <v>45</v>
      </c>
      <c r="F43" s="8" t="n">
        <v>45</v>
      </c>
      <c r="G43" s="8" t="n">
        <v>45</v>
      </c>
    </row>
    <row r="44" customFormat="false" ht="15" hidden="false" customHeight="false" outlineLevel="0" collapsed="false">
      <c r="A44" s="6" t="s">
        <v>62</v>
      </c>
      <c r="B44" s="7" t="s">
        <v>21</v>
      </c>
      <c r="C44" s="8" t="n">
        <v>200</v>
      </c>
      <c r="D44" s="8" t="n">
        <v>150</v>
      </c>
      <c r="E44" s="8" t="n">
        <v>300</v>
      </c>
      <c r="F44" s="8" t="n">
        <v>500</v>
      </c>
      <c r="G44" s="8" t="n">
        <v>700</v>
      </c>
      <c r="H44" s="2" t="s">
        <v>63</v>
      </c>
    </row>
  </sheetData>
  <mergeCells count="8">
    <mergeCell ref="A5:G5"/>
    <mergeCell ref="A10:G10"/>
    <mergeCell ref="A14:G14"/>
    <mergeCell ref="A20:G20"/>
    <mergeCell ref="A24:G24"/>
    <mergeCell ref="A28:G28"/>
    <mergeCell ref="A32:G32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7" min="3" style="0" width="15"/>
    <col collapsed="false" customWidth="true" hidden="false" outlineLevel="0" max="8" min="8" style="0" width="30"/>
  </cols>
  <sheetData>
    <row r="1" customFormat="false" ht="21.6" hidden="false" customHeight="false" outlineLevel="0" collapsed="false">
      <c r="A1" s="1" t="s">
        <v>64</v>
      </c>
    </row>
    <row r="3" customFormat="false" ht="17.15" hidden="false" customHeight="false" outlineLevel="0" collapsed="false">
      <c r="A3" s="3" t="s">
        <v>65</v>
      </c>
      <c r="B3" s="3"/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3" t="s">
        <v>9</v>
      </c>
    </row>
    <row r="5" customFormat="false" ht="15" hidden="false" customHeight="false" outlineLevel="0" collapsed="false">
      <c r="A5" s="5" t="s">
        <v>66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s">
        <v>11</v>
      </c>
      <c r="B6" s="7" t="s">
        <v>12</v>
      </c>
      <c r="C6" s="14" t="n">
        <f aca="false">가정!C6</f>
        <v>1</v>
      </c>
      <c r="D6" s="14" t="n">
        <f aca="false">가정!D6</f>
        <v>2</v>
      </c>
      <c r="E6" s="14" t="n">
        <f aca="false">가정!E6</f>
        <v>5</v>
      </c>
      <c r="F6" s="14" t="n">
        <f aca="false">가정!F6</f>
        <v>10</v>
      </c>
      <c r="G6" s="14" t="n">
        <f aca="false">가정!G6</f>
        <v>15</v>
      </c>
    </row>
    <row r="7" customFormat="false" ht="15" hidden="false" customHeight="false" outlineLevel="0" collapsed="false">
      <c r="A7" s="6" t="s">
        <v>67</v>
      </c>
      <c r="B7" s="7" t="s">
        <v>12</v>
      </c>
      <c r="C7" s="14" t="n">
        <f aca="false">C6</f>
        <v>1</v>
      </c>
      <c r="D7" s="14" t="n">
        <f aca="false">D6+C7</f>
        <v>3</v>
      </c>
      <c r="E7" s="14" t="n">
        <f aca="false">E6+D7</f>
        <v>8</v>
      </c>
      <c r="F7" s="14" t="n">
        <f aca="false">F6+E7</f>
        <v>18</v>
      </c>
      <c r="G7" s="14" t="n">
        <f aca="false">G6+F7</f>
        <v>33</v>
      </c>
    </row>
    <row r="8" customFormat="false" ht="15" hidden="false" customHeight="false" outlineLevel="0" collapsed="false">
      <c r="A8" s="15" t="s">
        <v>68</v>
      </c>
      <c r="B8" s="16" t="s">
        <v>21</v>
      </c>
      <c r="C8" s="17" t="n">
        <f aca="false">C6*가정!$C$7+(C7-C6)*가정!$C$8</f>
        <v>300</v>
      </c>
      <c r="D8" s="17" t="n">
        <f aca="false">D6*가정!$C$7+(D7-D6)*가정!$C$8</f>
        <v>640</v>
      </c>
      <c r="E8" s="17" t="n">
        <f aca="false">E6*가정!$C$7+(E7-E6)*가정!$C$8</f>
        <v>1620</v>
      </c>
      <c r="F8" s="17" t="n">
        <f aca="false">F6*가정!$C$7+(F7-F6)*가정!$C$8</f>
        <v>3320</v>
      </c>
      <c r="G8" s="17" t="n">
        <f aca="false">G6*가정!$C$7+(G7-G6)*가정!$C$8</f>
        <v>5220</v>
      </c>
    </row>
    <row r="10" customFormat="false" ht="15" hidden="false" customHeight="false" outlineLevel="0" collapsed="false">
      <c r="A10" s="5" t="s">
        <v>69</v>
      </c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15" t="s">
        <v>70</v>
      </c>
      <c r="B11" s="16" t="s">
        <v>21</v>
      </c>
      <c r="C11" s="17" t="n">
        <f aca="false">가정!C11*가정!$C$12</f>
        <v>45</v>
      </c>
      <c r="D11" s="17" t="n">
        <f aca="false">가정!D11*가정!$C$12</f>
        <v>180</v>
      </c>
      <c r="E11" s="17" t="n">
        <f aca="false">가정!E11*가정!$C$12</f>
        <v>600</v>
      </c>
      <c r="F11" s="17" t="n">
        <f aca="false">가정!F11*가정!$C$12</f>
        <v>1500</v>
      </c>
      <c r="G11" s="17" t="n">
        <f aca="false">가정!G11*가정!$C$12</f>
        <v>3000</v>
      </c>
    </row>
    <row r="13" customFormat="false" ht="15" hidden="false" customHeight="false" outlineLevel="0" collapsed="false">
      <c r="A13" s="5" t="s">
        <v>71</v>
      </c>
      <c r="B13" s="5"/>
      <c r="C13" s="5"/>
      <c r="D13" s="5"/>
      <c r="E13" s="5"/>
      <c r="F13" s="5"/>
      <c r="G13" s="5"/>
    </row>
    <row r="14" customFormat="false" ht="15" hidden="false" customHeight="false" outlineLevel="0" collapsed="false">
      <c r="A14" s="6" t="s">
        <v>72</v>
      </c>
      <c r="B14" s="7" t="s">
        <v>21</v>
      </c>
      <c r="C14" s="14" t="n">
        <f aca="false">가정!C15*가정!$C$16*가정!$C$17</f>
        <v>2475</v>
      </c>
      <c r="D14" s="14" t="n">
        <f aca="false">가정!D15*가정!$C$16*가정!$C$17</f>
        <v>9900</v>
      </c>
      <c r="E14" s="14" t="n">
        <f aca="false">가정!E15*가정!$C$16*가정!$C$17</f>
        <v>49500</v>
      </c>
      <c r="F14" s="14" t="n">
        <f aca="false">가정!F15*가정!$C$16*가정!$C$17</f>
        <v>49500</v>
      </c>
      <c r="G14" s="14" t="n">
        <f aca="false">가정!G15*가정!$C$16*가정!$C$17</f>
        <v>74250</v>
      </c>
    </row>
    <row r="15" customFormat="false" ht="15" hidden="false" customHeight="false" outlineLevel="0" collapsed="false">
      <c r="A15" s="15" t="s">
        <v>73</v>
      </c>
      <c r="B15" s="16" t="s">
        <v>21</v>
      </c>
      <c r="C15" s="17" t="n">
        <f aca="false">C14*가정!$C$18</f>
        <v>371.25</v>
      </c>
      <c r="D15" s="17" t="n">
        <f aca="false">D14*가정!$C$18</f>
        <v>1485</v>
      </c>
      <c r="E15" s="17" t="n">
        <f aca="false">E14*가정!$C$18</f>
        <v>7425</v>
      </c>
      <c r="F15" s="17" t="n">
        <f aca="false">F14*가정!$C$18</f>
        <v>7425</v>
      </c>
      <c r="G15" s="17" t="n">
        <f aca="false">G14*가정!$C$18</f>
        <v>11137.5</v>
      </c>
    </row>
    <row r="17" customFormat="false" ht="15" hidden="false" customHeight="false" outlineLevel="0" collapsed="false">
      <c r="A17" s="5" t="s">
        <v>74</v>
      </c>
      <c r="B17" s="5"/>
      <c r="C17" s="5"/>
      <c r="D17" s="5"/>
      <c r="E17" s="5"/>
      <c r="F17" s="5"/>
      <c r="G17" s="5"/>
    </row>
    <row r="18" customFormat="false" ht="15" hidden="false" customHeight="false" outlineLevel="0" collapsed="false">
      <c r="A18" s="15" t="s">
        <v>75</v>
      </c>
      <c r="B18" s="16" t="s">
        <v>21</v>
      </c>
      <c r="C18" s="17" t="n">
        <f aca="false">가정!C21*가정!$C$22*12/1000000</f>
        <v>118.8</v>
      </c>
      <c r="D18" s="17" t="n">
        <f aca="false">가정!D21*가정!$C$22*12/1000000</f>
        <v>594</v>
      </c>
      <c r="E18" s="17" t="n">
        <f aca="false">가정!E21*가정!$C$22*12/1000000</f>
        <v>2376</v>
      </c>
      <c r="F18" s="17" t="n">
        <f aca="false">가정!F21*가정!$C$22*12/1000000</f>
        <v>7128</v>
      </c>
      <c r="G18" s="17" t="n">
        <f aca="false">가정!G21*가정!$C$22*12/1000000</f>
        <v>14256</v>
      </c>
    </row>
    <row r="20" customFormat="false" ht="15" hidden="false" customHeight="false" outlineLevel="0" collapsed="false">
      <c r="A20" s="5" t="s">
        <v>76</v>
      </c>
      <c r="B20" s="5"/>
      <c r="C20" s="5"/>
      <c r="D20" s="5"/>
      <c r="E20" s="5"/>
      <c r="F20" s="5"/>
      <c r="G20" s="5"/>
    </row>
    <row r="21" customFormat="false" ht="15" hidden="false" customHeight="false" outlineLevel="0" collapsed="false">
      <c r="A21" s="15" t="s">
        <v>77</v>
      </c>
      <c r="B21" s="16" t="s">
        <v>21</v>
      </c>
      <c r="C21" s="17" t="n">
        <f aca="false">가정!C25*가정!$C$26*12/1000000</f>
        <v>36</v>
      </c>
      <c r="D21" s="17" t="n">
        <f aca="false">가정!D25*가정!$C$26*12/1000000</f>
        <v>144</v>
      </c>
      <c r="E21" s="17" t="n">
        <f aca="false">가정!E25*가정!$C$26*12/1000000</f>
        <v>540</v>
      </c>
      <c r="F21" s="17" t="n">
        <f aca="false">가정!F25*가정!$C$26*12/1000000</f>
        <v>1440</v>
      </c>
      <c r="G21" s="17" t="n">
        <f aca="false">가정!G25*가정!$C$26*12/1000000</f>
        <v>2880</v>
      </c>
    </row>
    <row r="23" customFormat="false" ht="15" hidden="false" customHeight="false" outlineLevel="0" collapsed="false">
      <c r="A23" s="5" t="s">
        <v>78</v>
      </c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15" t="s">
        <v>79</v>
      </c>
      <c r="B24" s="16" t="s">
        <v>21</v>
      </c>
      <c r="C24" s="17" t="n">
        <f aca="false">가정!C29*가정!$C$30*12/1000000</f>
        <v>179.4</v>
      </c>
      <c r="D24" s="17" t="n">
        <f aca="false">가정!D29*가정!$C$30*12/1000000</f>
        <v>1076.4</v>
      </c>
      <c r="E24" s="17" t="n">
        <f aca="false">가정!E29*가정!$C$30*12/1000000</f>
        <v>5382</v>
      </c>
      <c r="F24" s="17" t="n">
        <f aca="false">가정!F29*가정!$C$30*12/1000000</f>
        <v>17940</v>
      </c>
      <c r="G24" s="17" t="n">
        <f aca="false">가정!G29*가정!$C$30*12/1000000</f>
        <v>35880</v>
      </c>
    </row>
    <row r="26" customFormat="false" ht="15" hidden="false" customHeight="false" outlineLevel="0" collapsed="false">
      <c r="A26" s="5" t="s">
        <v>80</v>
      </c>
      <c r="B26" s="5"/>
      <c r="C26" s="5"/>
      <c r="D26" s="5"/>
      <c r="E26" s="5"/>
      <c r="F26" s="5"/>
      <c r="G26" s="5"/>
    </row>
    <row r="27" customFormat="false" ht="15" hidden="false" customHeight="false" outlineLevel="0" collapsed="false">
      <c r="A27" s="15" t="s">
        <v>81</v>
      </c>
      <c r="B27" s="16" t="s">
        <v>21</v>
      </c>
      <c r="C27" s="17" t="n">
        <f aca="false">가정!C33*가정!$C$34/1000000</f>
        <v>5</v>
      </c>
      <c r="D27" s="17" t="n">
        <f aca="false">가정!D33*가정!$C$34/1000000</f>
        <v>25</v>
      </c>
      <c r="E27" s="17" t="n">
        <f aca="false">가정!E33*가정!$C$34/1000000</f>
        <v>100</v>
      </c>
      <c r="F27" s="17" t="n">
        <f aca="false">가정!F33*가정!$C$34/1000000</f>
        <v>250</v>
      </c>
      <c r="G27" s="17" t="n">
        <f aca="false">가정!G33*가정!$C$34/1000000</f>
        <v>500</v>
      </c>
    </row>
    <row r="29" customFormat="false" ht="15" hidden="false" customHeight="false" outlineLevel="0" collapsed="false">
      <c r="A29" s="18" t="s">
        <v>82</v>
      </c>
      <c r="B29" s="18"/>
      <c r="C29" s="18"/>
      <c r="D29" s="18"/>
      <c r="E29" s="18"/>
      <c r="F29" s="18"/>
      <c r="G29" s="18"/>
    </row>
    <row r="30" customFormat="false" ht="15" hidden="false" customHeight="false" outlineLevel="0" collapsed="false">
      <c r="A30" s="19" t="s">
        <v>83</v>
      </c>
      <c r="B30" s="20" t="s">
        <v>21</v>
      </c>
      <c r="C30" s="21" t="n">
        <f aca="false">C8+C11+C15+C18+C21+C24+C27</f>
        <v>1055.45</v>
      </c>
      <c r="D30" s="21" t="n">
        <f aca="false">D8+D11+D15+D18+D21+D24+D27</f>
        <v>4144.4</v>
      </c>
      <c r="E30" s="21" t="n">
        <f aca="false">E8+E11+E15+E18+E21+E24+E27</f>
        <v>18043</v>
      </c>
      <c r="F30" s="21" t="n">
        <f aca="false">F8+F11+F15+F18+F21+F24+F27</f>
        <v>39003</v>
      </c>
      <c r="G30" s="21" t="n">
        <f aca="false">G8+G11+G15+G18+G21+G24+G27</f>
        <v>72873.5</v>
      </c>
    </row>
    <row r="31" customFormat="false" ht="15" hidden="false" customHeight="false" outlineLevel="0" collapsed="false">
      <c r="A31" s="6" t="s">
        <v>84</v>
      </c>
      <c r="B31" s="11" t="s">
        <v>23</v>
      </c>
      <c r="C31" s="22" t="n">
        <f aca="false">C8/C$30</f>
        <v>0.284238950210811</v>
      </c>
      <c r="D31" s="22" t="n">
        <f aca="false">D8/D$30</f>
        <v>0.154425248528134</v>
      </c>
      <c r="E31" s="22" t="n">
        <f aca="false">E8/E$30</f>
        <v>0.0897855123870753</v>
      </c>
      <c r="F31" s="22" t="n">
        <f aca="false">F8/F$30</f>
        <v>0.0851216573084122</v>
      </c>
      <c r="G31" s="22" t="n">
        <f aca="false">G8/G$30</f>
        <v>0.0716309769669359</v>
      </c>
    </row>
    <row r="32" customFormat="false" ht="15" hidden="false" customHeight="false" outlineLevel="0" collapsed="false">
      <c r="A32" s="6" t="s">
        <v>85</v>
      </c>
      <c r="B32" s="11" t="s">
        <v>23</v>
      </c>
      <c r="C32" s="22" t="n">
        <f aca="false">C11/C$30</f>
        <v>0.0426358425316216</v>
      </c>
      <c r="D32" s="22" t="n">
        <f aca="false">D11/D$30</f>
        <v>0.0434321011485378</v>
      </c>
      <c r="E32" s="22" t="n">
        <f aca="false">E11/E$30</f>
        <v>0.0332538934766946</v>
      </c>
      <c r="F32" s="22" t="n">
        <f aca="false">F11/F$30</f>
        <v>0.0384585801092224</v>
      </c>
      <c r="G32" s="22" t="n">
        <f aca="false">G11/G$30</f>
        <v>0.0411672281419172</v>
      </c>
    </row>
    <row r="33" customFormat="false" ht="15" hidden="false" customHeight="false" outlineLevel="0" collapsed="false">
      <c r="A33" s="6" t="s">
        <v>86</v>
      </c>
      <c r="B33" s="11" t="s">
        <v>23</v>
      </c>
      <c r="C33" s="22" t="n">
        <f aca="false">C15/C$30</f>
        <v>0.351745700885878</v>
      </c>
      <c r="D33" s="22" t="n">
        <f aca="false">D15/D$30</f>
        <v>0.358314834475437</v>
      </c>
      <c r="E33" s="22" t="n">
        <f aca="false">E15/E$30</f>
        <v>0.411516931774095</v>
      </c>
      <c r="F33" s="22" t="n">
        <f aca="false">F15/F$30</f>
        <v>0.190369971540651</v>
      </c>
      <c r="G33" s="22" t="n">
        <f aca="false">G15/G$30</f>
        <v>0.152833334476867</v>
      </c>
    </row>
    <row r="34" customFormat="false" ht="15" hidden="false" customHeight="false" outlineLevel="0" collapsed="false">
      <c r="A34" s="6" t="s">
        <v>87</v>
      </c>
      <c r="B34" s="11" t="s">
        <v>23</v>
      </c>
      <c r="C34" s="22" t="n">
        <f aca="false">C18/C$30</f>
        <v>0.112558624283481</v>
      </c>
      <c r="D34" s="22" t="n">
        <f aca="false">D18/D$30</f>
        <v>0.143325933790175</v>
      </c>
      <c r="E34" s="22" t="n">
        <f aca="false">E18/E$30</f>
        <v>0.13168541816771</v>
      </c>
      <c r="F34" s="22" t="n">
        <f aca="false">F18/F$30</f>
        <v>0.182755172679025</v>
      </c>
      <c r="G34" s="22" t="n">
        <f aca="false">G18/G$30</f>
        <v>0.19562666813039</v>
      </c>
    </row>
    <row r="35" customFormat="false" ht="15" hidden="false" customHeight="false" outlineLevel="0" collapsed="false">
      <c r="A35" s="6" t="s">
        <v>88</v>
      </c>
      <c r="B35" s="11" t="s">
        <v>23</v>
      </c>
      <c r="C35" s="22" t="n">
        <f aca="false">C21/C$30</f>
        <v>0.0341086740252973</v>
      </c>
      <c r="D35" s="22" t="n">
        <f aca="false">D21/D$30</f>
        <v>0.0347456809188302</v>
      </c>
      <c r="E35" s="22" t="n">
        <f aca="false">E21/E$30</f>
        <v>0.0299285041290251</v>
      </c>
      <c r="F35" s="22" t="n">
        <f aca="false">F21/F$30</f>
        <v>0.0369202369048535</v>
      </c>
      <c r="G35" s="22" t="n">
        <f aca="false">G21/G$30</f>
        <v>0.0395205390162405</v>
      </c>
    </row>
    <row r="36" customFormat="false" ht="15" hidden="false" customHeight="false" outlineLevel="0" collapsed="false">
      <c r="A36" s="6" t="s">
        <v>89</v>
      </c>
      <c r="B36" s="11" t="s">
        <v>23</v>
      </c>
      <c r="C36" s="22" t="n">
        <f aca="false">C24/C$30</f>
        <v>0.169974892226065</v>
      </c>
      <c r="D36" s="22" t="n">
        <f aca="false">D24/D$30</f>
        <v>0.259723964868256</v>
      </c>
      <c r="E36" s="22" t="n">
        <f aca="false">E24/E$30</f>
        <v>0.29828742448595</v>
      </c>
      <c r="F36" s="22" t="n">
        <f aca="false">F24/F$30</f>
        <v>0.4599646181063</v>
      </c>
      <c r="G36" s="22" t="n">
        <f aca="false">G24/G$30</f>
        <v>0.492360048577329</v>
      </c>
    </row>
    <row r="37" customFormat="false" ht="15" hidden="false" customHeight="false" outlineLevel="0" collapsed="false">
      <c r="A37" s="6" t="s">
        <v>90</v>
      </c>
      <c r="B37" s="11" t="s">
        <v>23</v>
      </c>
      <c r="C37" s="22" t="n">
        <f aca="false">C27/C$30</f>
        <v>0.00473731583684684</v>
      </c>
      <c r="D37" s="22" t="n">
        <f aca="false">D27/D$30</f>
        <v>0.00603223627063025</v>
      </c>
      <c r="E37" s="22" t="n">
        <f aca="false">E27/E$30</f>
        <v>0.00554231557944909</v>
      </c>
      <c r="F37" s="22" t="n">
        <f aca="false">F27/F$30</f>
        <v>0.00640976335153706</v>
      </c>
      <c r="G37" s="22" t="n">
        <f aca="false">G27/G$30</f>
        <v>0.00686120469031953</v>
      </c>
    </row>
  </sheetData>
  <mergeCells count="8">
    <mergeCell ref="A5:G5"/>
    <mergeCell ref="A10:G10"/>
    <mergeCell ref="A13:G13"/>
    <mergeCell ref="A17:G17"/>
    <mergeCell ref="A20:G20"/>
    <mergeCell ref="A23:G23"/>
    <mergeCell ref="A26:G26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7" min="3" style="0" width="15"/>
    <col collapsed="false" customWidth="true" hidden="false" outlineLevel="0" max="8" min="8" style="0" width="30"/>
  </cols>
  <sheetData>
    <row r="1" customFormat="false" ht="21.6" hidden="false" customHeight="false" outlineLevel="0" collapsed="false">
      <c r="A1" s="1" t="s">
        <v>91</v>
      </c>
    </row>
    <row r="3" customFormat="false" ht="17.15" hidden="false" customHeight="false" outlineLevel="0" collapsed="false">
      <c r="A3" s="3" t="s">
        <v>92</v>
      </c>
      <c r="B3" s="3"/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3" t="s">
        <v>9</v>
      </c>
    </row>
    <row r="5" customFormat="false" ht="15" hidden="false" customHeight="false" outlineLevel="0" collapsed="false">
      <c r="A5" s="15" t="s">
        <v>93</v>
      </c>
      <c r="B5" s="16" t="s">
        <v>21</v>
      </c>
      <c r="C5" s="17" t="n">
        <f aca="false">매출추정!C30</f>
        <v>1055.45</v>
      </c>
      <c r="D5" s="17" t="n">
        <f aca="false">매출추정!D30</f>
        <v>4144.4</v>
      </c>
      <c r="E5" s="17" t="n">
        <f aca="false">매출추정!E30</f>
        <v>18043</v>
      </c>
      <c r="F5" s="17" t="n">
        <f aca="false">매출추정!F30</f>
        <v>39003</v>
      </c>
      <c r="G5" s="17" t="n">
        <f aca="false">매출추정!G30</f>
        <v>72873.5</v>
      </c>
    </row>
    <row r="6" customFormat="false" ht="15" hidden="false" customHeight="false" outlineLevel="0" collapsed="false">
      <c r="A6" s="6" t="s">
        <v>94</v>
      </c>
      <c r="B6" s="7" t="s">
        <v>21</v>
      </c>
      <c r="C6" s="14" t="n">
        <f aca="false">C5*가정!$C$37</f>
        <v>316.635</v>
      </c>
      <c r="D6" s="14" t="n">
        <f aca="false">D5*가정!$C$37</f>
        <v>1243.32</v>
      </c>
      <c r="E6" s="14" t="n">
        <f aca="false">E5*가정!$C$37</f>
        <v>5412.9</v>
      </c>
      <c r="F6" s="14" t="n">
        <f aca="false">F5*가정!$C$37</f>
        <v>11700.9</v>
      </c>
      <c r="G6" s="14" t="n">
        <f aca="false">G5*가정!$C$37</f>
        <v>21862.05</v>
      </c>
    </row>
    <row r="7" customFormat="false" ht="15" hidden="false" customHeight="false" outlineLevel="0" collapsed="false">
      <c r="A7" s="15" t="s">
        <v>95</v>
      </c>
      <c r="B7" s="16" t="s">
        <v>21</v>
      </c>
      <c r="C7" s="17" t="n">
        <f aca="false">C5-C6</f>
        <v>738.815</v>
      </c>
      <c r="D7" s="17" t="n">
        <f aca="false">D5-D6</f>
        <v>2901.08</v>
      </c>
      <c r="E7" s="17" t="n">
        <f aca="false">E5-E6</f>
        <v>12630.1</v>
      </c>
      <c r="F7" s="17" t="n">
        <f aca="false">F5-F6</f>
        <v>27302.1</v>
      </c>
      <c r="G7" s="17" t="n">
        <f aca="false">G5-G6</f>
        <v>51011.45</v>
      </c>
    </row>
    <row r="9" customFormat="false" ht="15" hidden="false" customHeight="false" outlineLevel="0" collapsed="false">
      <c r="A9" s="18" t="s">
        <v>96</v>
      </c>
      <c r="B9" s="18"/>
      <c r="C9" s="18"/>
      <c r="D9" s="18"/>
      <c r="E9" s="18"/>
      <c r="F9" s="18"/>
      <c r="G9" s="18"/>
    </row>
    <row r="10" customFormat="false" ht="15" hidden="false" customHeight="false" outlineLevel="0" collapsed="false">
      <c r="A10" s="6" t="s">
        <v>97</v>
      </c>
      <c r="B10" s="7" t="s">
        <v>21</v>
      </c>
      <c r="C10" s="14" t="n">
        <f aca="false">가정!C42*가정!C43</f>
        <v>950</v>
      </c>
      <c r="D10" s="14" t="n">
        <f aca="false">가정!D42*가정!D43</f>
        <v>1755</v>
      </c>
      <c r="E10" s="14" t="n">
        <f aca="false">가정!E42*가정!E43</f>
        <v>4500</v>
      </c>
      <c r="F10" s="14" t="n">
        <f aca="false">가정!F42*가정!F43</f>
        <v>11250</v>
      </c>
      <c r="G10" s="14" t="n">
        <f aca="false">가정!G42*가정!G43</f>
        <v>18000</v>
      </c>
    </row>
    <row r="11" customFormat="false" ht="15" hidden="false" customHeight="false" outlineLevel="0" collapsed="false">
      <c r="A11" s="6" t="s">
        <v>98</v>
      </c>
      <c r="B11" s="7" t="s">
        <v>21</v>
      </c>
      <c r="C11" s="14" t="n">
        <f aca="false">C5*가정!$C$38</f>
        <v>52.7725</v>
      </c>
      <c r="D11" s="14" t="n">
        <f aca="false">D5*가정!$C$38</f>
        <v>207.22</v>
      </c>
      <c r="E11" s="14" t="n">
        <f aca="false">E5*가정!$C$38</f>
        <v>902.15</v>
      </c>
      <c r="F11" s="14" t="n">
        <f aca="false">F5*가정!$C$38</f>
        <v>1950.15</v>
      </c>
      <c r="G11" s="14" t="n">
        <f aca="false">G5*가정!$C$38</f>
        <v>3643.675</v>
      </c>
    </row>
    <row r="12" customFormat="false" ht="15" hidden="false" customHeight="false" outlineLevel="0" collapsed="false">
      <c r="A12" s="6" t="s">
        <v>99</v>
      </c>
      <c r="B12" s="7" t="s">
        <v>21</v>
      </c>
      <c r="C12" s="14" t="n">
        <f aca="false">가정!$C$39+C5*가정!$C$40</f>
        <v>160.5545</v>
      </c>
      <c r="D12" s="14" t="n">
        <f aca="false">가정!$C$39+D5*가정!$C$40</f>
        <v>191.444</v>
      </c>
      <c r="E12" s="14" t="n">
        <f aca="false">가정!$C$39+E5*가정!$C$40</f>
        <v>330.43</v>
      </c>
      <c r="F12" s="14" t="n">
        <f aca="false">가정!$C$39+F5*가정!$C$40</f>
        <v>540.03</v>
      </c>
      <c r="G12" s="14" t="n">
        <f aca="false">가정!$C$39+G5*가정!$C$40</f>
        <v>878.735</v>
      </c>
    </row>
    <row r="13" customFormat="false" ht="15" hidden="false" customHeight="false" outlineLevel="0" collapsed="false">
      <c r="A13" s="15" t="s">
        <v>100</v>
      </c>
      <c r="B13" s="16" t="s">
        <v>21</v>
      </c>
      <c r="C13" s="17" t="n">
        <f aca="false">SUM(C10:C12)</f>
        <v>1163.327</v>
      </c>
      <c r="D13" s="17" t="n">
        <f aca="false">SUM(D10:D12)</f>
        <v>2153.664</v>
      </c>
      <c r="E13" s="17" t="n">
        <f aca="false">SUM(E10:E12)</f>
        <v>5732.58</v>
      </c>
      <c r="F13" s="17" t="n">
        <f aca="false">SUM(F10:F12)</f>
        <v>13740.18</v>
      </c>
      <c r="G13" s="17" t="n">
        <f aca="false">SUM(G10:G12)</f>
        <v>22522.41</v>
      </c>
    </row>
    <row r="15" customFormat="false" ht="15" hidden="false" customHeight="false" outlineLevel="0" collapsed="false">
      <c r="A15" s="19" t="s">
        <v>101</v>
      </c>
      <c r="B15" s="20" t="s">
        <v>21</v>
      </c>
      <c r="C15" s="21" t="n">
        <f aca="false">C7-C13</f>
        <v>-424.512</v>
      </c>
      <c r="D15" s="21" t="n">
        <f aca="false">D7-D13</f>
        <v>747.416</v>
      </c>
      <c r="E15" s="21" t="n">
        <f aca="false">E7-E13</f>
        <v>6897.52</v>
      </c>
      <c r="F15" s="21" t="n">
        <f aca="false">F7-F13</f>
        <v>13561.92</v>
      </c>
      <c r="G15" s="21" t="n">
        <f aca="false">G7-G13</f>
        <v>28489.04</v>
      </c>
    </row>
    <row r="16" customFormat="false" ht="15" hidden="false" customHeight="false" outlineLevel="0" collapsed="false">
      <c r="A16" s="6" t="s">
        <v>102</v>
      </c>
      <c r="B16" s="11" t="s">
        <v>23</v>
      </c>
      <c r="C16" s="22" t="n">
        <f aca="false">C15/C5</f>
        <v>-0.402209484106305</v>
      </c>
      <c r="D16" s="22" t="n">
        <f aca="false">D15/D5</f>
        <v>0.180343596177975</v>
      </c>
      <c r="E16" s="22" t="n">
        <f aca="false">E15/E5</f>
        <v>0.382282325555617</v>
      </c>
      <c r="F16" s="22" t="n">
        <f aca="false">F15/F5</f>
        <v>0.34771479116991</v>
      </c>
      <c r="G16" s="22" t="n">
        <f aca="false">G15/G5</f>
        <v>0.390938269741401</v>
      </c>
    </row>
    <row r="17" customFormat="false" ht="15" hidden="false" customHeight="false" outlineLevel="0" collapsed="false">
      <c r="A17" s="6" t="s">
        <v>103</v>
      </c>
      <c r="B17" s="7" t="s">
        <v>21</v>
      </c>
      <c r="C17" s="14" t="n">
        <f aca="false">IF(C15&gt;0,C15*가정!$C$41,0)</f>
        <v>0</v>
      </c>
      <c r="D17" s="14" t="n">
        <f aca="false">IF(D15&gt;0,D15*가정!$C$41,0)</f>
        <v>149.4832</v>
      </c>
      <c r="E17" s="14" t="n">
        <f aca="false">IF(E15&gt;0,E15*가정!$C$41,0)</f>
        <v>1379.504</v>
      </c>
      <c r="F17" s="14" t="n">
        <f aca="false">IF(F15&gt;0,F15*가정!$C$41,0)</f>
        <v>2712.384</v>
      </c>
      <c r="G17" s="14" t="n">
        <f aca="false">IF(G15&gt;0,G15*가정!$C$41,0)</f>
        <v>5697.808</v>
      </c>
    </row>
    <row r="18" customFormat="false" ht="15" hidden="false" customHeight="false" outlineLevel="0" collapsed="false">
      <c r="A18" s="19" t="s">
        <v>104</v>
      </c>
      <c r="B18" s="20" t="s">
        <v>21</v>
      </c>
      <c r="C18" s="21" t="n">
        <f aca="false">C15-C17</f>
        <v>-424.512</v>
      </c>
      <c r="D18" s="21" t="n">
        <f aca="false">D15-D17</f>
        <v>597.9328</v>
      </c>
      <c r="E18" s="21" t="n">
        <f aca="false">E15-E17</f>
        <v>5518.016</v>
      </c>
      <c r="F18" s="21" t="n">
        <f aca="false">F15-F17</f>
        <v>10849.536</v>
      </c>
      <c r="G18" s="21" t="n">
        <f aca="false">G15-G17</f>
        <v>22791.232</v>
      </c>
    </row>
    <row r="19" customFormat="false" ht="15" hidden="false" customHeight="false" outlineLevel="0" collapsed="false">
      <c r="A19" s="15" t="s">
        <v>105</v>
      </c>
      <c r="B19" s="16" t="s">
        <v>21</v>
      </c>
      <c r="C19" s="17" t="n">
        <f aca="false">C18</f>
        <v>-424.512</v>
      </c>
      <c r="D19" s="17" t="n">
        <f aca="false">D18+C19</f>
        <v>173.4208</v>
      </c>
      <c r="E19" s="17" t="n">
        <f aca="false">E18+D19</f>
        <v>5691.4368</v>
      </c>
      <c r="F19" s="17" t="n">
        <f aca="false">F18+E19</f>
        <v>16540.9728</v>
      </c>
      <c r="G19" s="17" t="n">
        <f aca="false">G18+F19</f>
        <v>39332.2048</v>
      </c>
    </row>
    <row r="21" customFormat="false" ht="15" hidden="false" customHeight="false" outlineLevel="0" collapsed="false">
      <c r="A21" s="18" t="s">
        <v>106</v>
      </c>
      <c r="B21" s="18"/>
      <c r="C21" s="18"/>
      <c r="D21" s="18"/>
      <c r="E21" s="18"/>
      <c r="F21" s="18"/>
      <c r="G21" s="18"/>
    </row>
    <row r="22" customFormat="false" ht="15" hidden="false" customHeight="false" outlineLevel="0" collapsed="false">
      <c r="A22" s="6" t="s">
        <v>62</v>
      </c>
      <c r="B22" s="7" t="s">
        <v>21</v>
      </c>
      <c r="C22" s="14" t="n">
        <f aca="false">가정!C44</f>
        <v>200</v>
      </c>
      <c r="D22" s="14" t="n">
        <f aca="false">가정!D44</f>
        <v>150</v>
      </c>
      <c r="E22" s="14" t="n">
        <f aca="false">가정!E44</f>
        <v>300</v>
      </c>
      <c r="F22" s="14" t="n">
        <f aca="false">가정!F44</f>
        <v>500</v>
      </c>
      <c r="G22" s="14" t="n">
        <f aca="false">가정!G44</f>
        <v>700</v>
      </c>
    </row>
    <row r="23" customFormat="false" ht="15" hidden="false" customHeight="false" outlineLevel="0" collapsed="false">
      <c r="A23" s="6" t="s">
        <v>107</v>
      </c>
      <c r="B23" s="7" t="s">
        <v>21</v>
      </c>
      <c r="C23" s="14" t="n">
        <f aca="false">C18-C22</f>
        <v>-624.512</v>
      </c>
      <c r="D23" s="14" t="n">
        <f aca="false">D18-D22</f>
        <v>447.9328</v>
      </c>
      <c r="E23" s="14" t="n">
        <f aca="false">E18-E22</f>
        <v>5218.016</v>
      </c>
      <c r="F23" s="14" t="n">
        <f aca="false">F18-F22</f>
        <v>10349.536</v>
      </c>
      <c r="G23" s="14" t="n">
        <f aca="false">G18-G22</f>
        <v>22091.232</v>
      </c>
    </row>
    <row r="24" customFormat="false" ht="15" hidden="false" customHeight="false" outlineLevel="0" collapsed="false">
      <c r="A24" s="15" t="s">
        <v>108</v>
      </c>
      <c r="B24" s="16" t="s">
        <v>21</v>
      </c>
      <c r="C24" s="17" t="n">
        <f aca="false">C23</f>
        <v>-624.512</v>
      </c>
      <c r="D24" s="17" t="n">
        <f aca="false">D23+C24</f>
        <v>-176.5792</v>
      </c>
      <c r="E24" s="17" t="n">
        <f aca="false">E23+D24</f>
        <v>5041.4368</v>
      </c>
      <c r="F24" s="17" t="n">
        <f aca="false">F23+E24</f>
        <v>15390.9728</v>
      </c>
      <c r="G24" s="17" t="n">
        <f aca="false">G23+F24</f>
        <v>37482.2048</v>
      </c>
    </row>
    <row r="26" customFormat="false" ht="15" hidden="false" customHeight="false" outlineLevel="0" collapsed="false">
      <c r="A26" s="2" t="s">
        <v>109</v>
      </c>
    </row>
    <row r="27" customFormat="false" ht="15" hidden="false" customHeight="false" outlineLevel="0" collapsed="false">
      <c r="A27" s="13" t="s">
        <v>110</v>
      </c>
    </row>
  </sheetData>
  <mergeCells count="2">
    <mergeCell ref="A9:G9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111</v>
      </c>
    </row>
    <row r="3" customFormat="false" ht="17.15" hidden="false" customHeight="false" outlineLevel="0" collapsed="false">
      <c r="A3" s="3" t="s">
        <v>112</v>
      </c>
      <c r="B3" s="3" t="s">
        <v>65</v>
      </c>
      <c r="C3" s="3" t="s">
        <v>113</v>
      </c>
      <c r="D3" s="3" t="s">
        <v>114</v>
      </c>
      <c r="E3" s="3" t="s">
        <v>9</v>
      </c>
      <c r="F3" s="3"/>
      <c r="G3" s="3"/>
    </row>
    <row r="4" customFormat="false" ht="17.15" hidden="false" customHeight="false" outlineLevel="0" collapsed="false">
      <c r="A4" s="10" t="s">
        <v>115</v>
      </c>
      <c r="B4" s="6" t="s">
        <v>116</v>
      </c>
      <c r="C4" s="23" t="n">
        <v>0.51</v>
      </c>
      <c r="D4" s="14" t="n">
        <f aca="false">100000000*C4</f>
        <v>51000000</v>
      </c>
      <c r="E4" s="24" t="s">
        <v>117</v>
      </c>
    </row>
    <row r="5" customFormat="false" ht="15" hidden="false" customHeight="false" outlineLevel="0" collapsed="false">
      <c r="A5" s="6" t="s">
        <v>118</v>
      </c>
      <c r="B5" s="6" t="s">
        <v>119</v>
      </c>
      <c r="C5" s="23" t="n">
        <v>0.49</v>
      </c>
      <c r="D5" s="14" t="n">
        <f aca="false">100000000*C5</f>
        <v>49000000</v>
      </c>
      <c r="E5" s="24" t="s">
        <v>120</v>
      </c>
    </row>
    <row r="6" customFormat="false" ht="15" hidden="false" customHeight="false" outlineLevel="0" collapsed="false">
      <c r="A6" s="15" t="s">
        <v>121</v>
      </c>
      <c r="B6" s="9"/>
      <c r="C6" s="25" t="n">
        <f aca="false">SUM(C4:C5)</f>
        <v>1</v>
      </c>
      <c r="D6" s="17" t="n">
        <f aca="false">SUM(D4:D5)</f>
        <v>100000000</v>
      </c>
      <c r="E6" s="9"/>
    </row>
    <row r="18" customFormat="false" ht="15" hidden="false" customHeight="false" outlineLevel="0" collapsed="false">
      <c r="A18" s="26" t="s">
        <v>122</v>
      </c>
    </row>
    <row r="19" customFormat="false" ht="17.15" hidden="false" customHeight="false" outlineLevel="0" collapsed="false">
      <c r="A19" s="3" t="s">
        <v>123</v>
      </c>
      <c r="B19" s="3" t="s">
        <v>124</v>
      </c>
      <c r="C19" s="3" t="s">
        <v>125</v>
      </c>
      <c r="D19" s="3"/>
      <c r="E19" s="3"/>
      <c r="F19" s="3"/>
      <c r="G19" s="3"/>
    </row>
    <row r="20" customFormat="false" ht="17.15" hidden="false" customHeight="false" outlineLevel="0" collapsed="false">
      <c r="A20" s="6" t="s">
        <v>126</v>
      </c>
      <c r="B20" s="8" t="n">
        <v>1000</v>
      </c>
      <c r="C20" s="9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2026-09-16T06:42:26Z</dcterms:created>
  <dc:creator>openpyxl</dc:creator>
  <dc:description/>
  <dc:language>en-US</dc:language>
  <cp:lastModifiedBy/>
  <dcterms:modified xsi:type="dcterms:W3CDTF">2026-09-16T06:42:26Z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