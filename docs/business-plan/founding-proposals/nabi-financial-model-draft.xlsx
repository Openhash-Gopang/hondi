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입력" sheetId="2" state="visible" r:id="rId4"/>
    <sheet name="요약" sheetId="3" state="visible" r:id="rId5"/>
    <sheet name="직종별" sheetId="4" state="visible" r:id="rId6"/>
    <sheet name="민감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<sst xmlns="http://schemas.openxmlformats.org/spreadsheetml/2006/main" count="127" uniqueCount="121">
  <si>
    <r>
      <rPr>
        <b val="true"/>
        <sz val="12"/>
        <rFont val="Noto Sans CJK SC"/>
        <family val="2"/>
      </rPr>
      <t xml:space="preserve">나비 신설 법인 통합 재무 모델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초안</t>
    </r>
    <r>
      <rPr>
        <b val="true"/>
        <sz val="12"/>
        <rFont val="Arial"/>
        <family val="0"/>
        <charset val="1"/>
      </rPr>
      <t xml:space="preserve">, 2026-10-17)</t>
    </r>
  </si>
  <si>
    <r>
      <rPr>
        <sz val="10"/>
        <rFont val="Noto Sans CJK SC"/>
        <family val="2"/>
      </rPr>
      <t xml:space="preserve">이 파일은 초안이며 언제든 예고 없이 변경될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(MD)</t>
    </r>
    <r>
      <rPr>
        <sz val="10"/>
        <rFont val="Noto Sans CJK SC"/>
        <family val="2"/>
      </rPr>
      <t xml:space="preserve">의 재무 숫자는 이 모델의 기준 시나리오와 맞춥니다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문서는 가입자 수를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명 단위로 반올림했으므로 소수점 차이가 날 수 있음</t>
    </r>
    <r>
      <rPr>
        <sz val="10"/>
        <rFont val="Arial"/>
        <family val="0"/>
        <charset val="1"/>
      </rPr>
      <t xml:space="preserve">).</t>
    </r>
  </si>
  <si>
    <t xml:space="preserve">시트 구성</t>
  </si>
  <si>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모든 가정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파란색 글자가 입력 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노란 칸은 핵심 시나리오 레버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값을 바꾸면 모든 시트가 다시 계산됩니다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</si>
  <si>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직종별</t>
    </r>
    <r>
      <rPr>
        <sz val="10"/>
        <rFont val="Arial"/>
        <family val="0"/>
        <charset val="1"/>
      </rPr>
      <t xml:space="preserve">: 11</t>
    </r>
    <r>
      <rPr>
        <sz val="10"/>
        <rFont val="Noto Sans CJK SC"/>
        <family val="2"/>
      </rPr>
      <t xml:space="preserve">개 법인의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연도 재무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연회비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종량제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서버비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법인세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순이익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배당 하한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로열티</t>
    </r>
    <r>
      <rPr>
        <sz val="10"/>
        <rFont val="Arial"/>
        <family val="0"/>
        <charset val="1"/>
      </rPr>
      <t xml:space="preserve">, 12</t>
    </r>
    <r>
      <rPr>
        <sz val="10"/>
        <rFont val="Noto Sans CJK SC"/>
        <family val="2"/>
      </rPr>
      <t xml:space="preserve">개월 말 현금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서버 분담금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</si>
  <si>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민감도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선택한 직종의 달성률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종량제 배수별 순이익과 배당 하한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</si>
  <si>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직종별 핵심 숫자를 억 원 단위로 모은 표</t>
    </r>
    <r>
      <rPr>
        <sz val="10"/>
        <rFont val="Arial"/>
        <family val="0"/>
        <charset val="1"/>
      </rPr>
      <t xml:space="preserve">.</t>
    </r>
  </si>
  <si>
    <t xml:space="preserve">주요 가정과 한계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</si>
  <si>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서버비는 회원 </t>
    </r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명에 연 </t>
    </r>
    <r>
      <rPr>
        <sz val="10"/>
        <rFont val="Arial"/>
        <family val="0"/>
        <charset val="1"/>
      </rPr>
      <t xml:space="preserve">3.4</t>
    </r>
    <r>
      <rPr>
        <sz val="10"/>
        <rFont val="Noto Sans CJK SC"/>
        <family val="2"/>
      </rPr>
      <t xml:space="preserve">억 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선형 확대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이라는 이전 추산에서 나왔고 근거가 검증되지 않았습니다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</si>
  <si>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연회비 </t>
    </r>
    <r>
      <rPr>
        <sz val="10"/>
        <rFont val="Arial"/>
        <family val="0"/>
        <charset val="1"/>
      </rPr>
      <t xml:space="preserve">99,000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부가세 포함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갱신율 </t>
    </r>
    <r>
      <rPr>
        <sz val="10"/>
        <rFont val="Arial"/>
        <family val="0"/>
        <charset val="1"/>
      </rPr>
      <t xml:space="preserve">100%, 5</t>
    </r>
    <r>
      <rPr>
        <sz val="10"/>
        <rFont val="Noto Sans CJK SC"/>
        <family val="2"/>
      </rPr>
      <t xml:space="preserve">개월 누적 가입 일정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 규모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블로그 추정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모두 가정입니다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</si>
  <si>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3) </t>
    </r>
    <r>
      <rPr>
        <sz val="10"/>
        <rFont val="Noto Sans CJK SC"/>
        <family val="2"/>
      </rPr>
      <t xml:space="preserve">종량제는 서버비의 배수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과금한다고 가정했습니다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민감도 시트에서 </t>
    </r>
    <r>
      <rPr>
        <sz val="10"/>
        <rFont val="Arial"/>
        <family val="0"/>
        <charset val="1"/>
      </rPr>
      <t xml:space="preserve">1~10</t>
    </r>
    <r>
      <rPr>
        <sz val="10"/>
        <rFont val="Noto Sans CJK SC"/>
        <family val="2"/>
      </rPr>
      <t xml:space="preserve">배를 비교합니다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</si>
  <si>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법인세는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억 원 이하 </t>
    </r>
    <r>
      <rPr>
        <sz val="10"/>
        <rFont val="Arial"/>
        <family val="0"/>
        <charset val="1"/>
      </rPr>
      <t xml:space="preserve">9%, </t>
    </r>
    <r>
      <rPr>
        <sz val="10"/>
        <rFont val="Noto Sans CJK SC"/>
        <family val="2"/>
      </rPr>
      <t xml:space="preserve">초과 </t>
    </r>
    <r>
      <rPr>
        <sz val="10"/>
        <rFont val="Arial"/>
        <family val="0"/>
        <charset val="1"/>
      </rPr>
      <t xml:space="preserve">19%(</t>
    </r>
    <r>
      <rPr>
        <sz val="10"/>
        <rFont val="Noto Sans CJK SC"/>
        <family val="2"/>
      </rPr>
      <t xml:space="preserve">현행 세율 확인 필요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로열티는 비용으로 보지 않고 법인세 후 순이익에서 배당을 뺀 값입니다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손금 인정 여부 미확정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</si>
  <si>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5) </t>
    </r>
    <r>
      <rPr>
        <sz val="10"/>
        <rFont val="Noto Sans CJK SC"/>
        <family val="2"/>
      </rPr>
      <t xml:space="preserve">배당 하한은 코스피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결산법인 평균 배당성향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31.1%), </t>
    </r>
    <r>
      <rPr>
        <sz val="10"/>
        <rFont val="Noto Sans CJK SC"/>
        <family val="2"/>
      </rPr>
      <t xml:space="preserve">상한은 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하한 이행 조건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배당 가능 이익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이익준비금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환불 재원 유보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반영하지 않았습니다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</si>
  <si>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6) </t>
    </r>
    <r>
      <rPr>
        <sz val="10"/>
        <rFont val="Noto Sans CJK SC"/>
        <family val="2"/>
      </rPr>
      <t xml:space="preserve">입찰 대금과 서버 구축 분담금은 현금 계산에서 제외했습니다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분담금은 시장 규모 비율로 나눈 참고값입니다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</si>
  <si>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7) </t>
    </r>
    <r>
      <rPr>
        <sz val="10"/>
        <rFont val="Noto Sans CJK SC"/>
        <family val="2"/>
      </rPr>
      <t xml:space="preserve">나비로의 월별 누적 가입 일정</t>
    </r>
    <r>
      <rPr>
        <sz val="10"/>
        <rFont val="Arial"/>
        <family val="0"/>
        <charset val="1"/>
      </rPr>
      <t xml:space="preserve">(500/1200/2200/3400/4700)</t>
    </r>
    <r>
      <rPr>
        <sz val="10"/>
        <rFont val="Noto Sans CJK SC"/>
        <family val="2"/>
      </rPr>
      <t xml:space="preserve">은 다른 직종과 같은 비율</t>
    </r>
    <r>
      <rPr>
        <sz val="10"/>
        <rFont val="Arial"/>
        <family val="0"/>
        <charset val="1"/>
      </rPr>
      <t xml:space="preserve">(10.6%/25.5%/46.8%/72.3%/100%)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4,700</t>
    </r>
    <r>
      <rPr>
        <sz val="10"/>
        <rFont val="Noto Sans CJK SC"/>
        <family val="2"/>
      </rPr>
      <t xml:space="preserve">명에 적용해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명 단위로 반올림한 값입니다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</si>
  <si>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8) </t>
    </r>
    <r>
      <rPr>
        <sz val="10"/>
        <rFont val="Noto Sans CJK SC"/>
        <family val="2"/>
      </rPr>
      <t xml:space="preserve">임원 보수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합계 연 </t>
    </r>
    <r>
      <rPr>
        <sz val="10"/>
        <rFont val="Arial"/>
        <family val="0"/>
        <charset val="1"/>
      </rPr>
      <t xml:space="preserve">3,600</t>
    </r>
    <r>
      <rPr>
        <sz val="10"/>
        <rFont val="Noto Sans CJK SC"/>
        <family val="2"/>
      </rPr>
      <t xml:space="preserve">만 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가입자가 시장의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에 이를 때까지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원이고 이후 월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만 원씩 지급합니다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 시트 </t>
    </r>
    <r>
      <rPr>
        <sz val="10"/>
        <rFont val="Arial"/>
        <family val="0"/>
        <charset val="1"/>
      </rPr>
      <t xml:space="preserve">B21). </t>
    </r>
    <r>
      <rPr>
        <sz val="10"/>
        <rFont val="Noto Sans CJK SC"/>
        <family val="2"/>
      </rPr>
      <t xml:space="preserve">유지비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1,500</t>
    </r>
    <r>
      <rPr>
        <sz val="10"/>
        <rFont val="Noto Sans CJK SC"/>
        <family val="2"/>
      </rPr>
      <t xml:space="preserve">만 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가정입니다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마케팅비는 주주 무상 모집이므로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</si>
  <si>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9) </t>
    </r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활동 의사 </t>
    </r>
    <r>
      <rPr>
        <sz val="10"/>
        <rFont val="Arial"/>
        <family val="0"/>
        <charset val="1"/>
      </rPr>
      <t xml:space="preserve">11.8</t>
    </r>
    <r>
      <rPr>
        <sz val="10"/>
        <rFont val="Noto Sans CJK SC"/>
        <family val="2"/>
      </rPr>
      <t xml:space="preserve">만 명</t>
    </r>
    <r>
      <rPr>
        <sz val="10"/>
        <rFont val="Arial"/>
        <family val="0"/>
        <charset val="1"/>
      </rPr>
      <t xml:space="preserve">, 2023), </t>
    </r>
    <r>
      <rPr>
        <sz val="10"/>
        <rFont val="Noto Sans CJK SC"/>
        <family val="2"/>
      </rPr>
      <t xml:space="preserve">개업공인중개사</t>
    </r>
    <r>
      <rPr>
        <sz val="10"/>
        <rFont val="Arial"/>
        <family val="0"/>
        <charset val="1"/>
      </rPr>
      <t xml:space="preserve">(10.96</t>
    </r>
    <r>
      <rPr>
        <sz val="10"/>
        <rFont val="Noto Sans CJK SC"/>
        <family val="2"/>
      </rPr>
      <t xml:space="preserve">만 명</t>
    </r>
    <r>
      <rPr>
        <sz val="10"/>
        <rFont val="Arial"/>
        <family val="0"/>
        <charset val="1"/>
      </rPr>
      <t xml:space="preserve">,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약사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요양기관 근무 </t>
    </r>
    <r>
      <rPr>
        <sz val="10"/>
        <rFont val="Arial"/>
        <family val="0"/>
        <charset val="1"/>
      </rPr>
      <t xml:space="preserve">4.1</t>
    </r>
    <r>
      <rPr>
        <sz val="10"/>
        <rFont val="Noto Sans CJK SC"/>
        <family val="2"/>
      </rPr>
      <t xml:space="preserve">만 명</t>
    </r>
    <r>
      <rPr>
        <sz val="10"/>
        <rFont val="Arial"/>
        <family val="0"/>
        <charset val="1"/>
      </rPr>
      <t xml:space="preserve">, 2023), </t>
    </r>
    <r>
      <rPr>
        <sz val="10"/>
        <rFont val="Noto Sans CJK SC"/>
        <family val="2"/>
      </rPr>
      <t xml:space="preserve">한의사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요양기관 근무 </t>
    </r>
    <r>
      <rPr>
        <sz val="10"/>
        <rFont val="Arial"/>
        <family val="0"/>
        <charset val="1"/>
      </rPr>
      <t xml:space="preserve">2.2</t>
    </r>
    <r>
      <rPr>
        <sz val="10"/>
        <rFont val="Noto Sans CJK SC"/>
        <family val="2"/>
      </rPr>
      <t xml:space="preserve">만 명</t>
    </r>
    <r>
      <rPr>
        <sz val="10"/>
        <rFont val="Arial"/>
        <family val="0"/>
        <charset val="1"/>
      </rPr>
      <t xml:space="preserve">, 2023)</t>
    </r>
    <r>
      <rPr>
        <sz val="10"/>
        <rFont val="Noto Sans CJK SC"/>
        <family val="2"/>
      </rPr>
      <t xml:space="preserve">의 시장 규모는 보도 통계에 근거한 근사치입니다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서버 구축 분담금은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법인의 시장 규모 비율로 나눈 참고값입니다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정부 서버 지원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가능하면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설립의 선행 조건이며 이 모델의 숫자에는 반영하지 않았습니다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서버는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대로 시작해 자본 모집과 연회비 수입에 따라 점진적으로 증설합니다</t>
    </r>
    <r>
      <rPr>
        <sz val="10"/>
        <rFont val="Arial"/>
        <family val="0"/>
        <charset val="1"/>
      </rPr>
      <t xml:space="preserve">.</t>
    </r>
  </si>
  <si>
    <t xml:space="preserve">입력 가정</t>
  </si>
  <si>
    <r>
      <rPr>
        <i val="true"/>
        <sz val="10"/>
        <rFont val="Noto Sans CJK SC"/>
        <family val="2"/>
      </rPr>
      <t xml:space="preserve">파란색 글자 </t>
    </r>
    <r>
      <rPr>
        <i val="true"/>
        <sz val="10"/>
        <rFont val="Arial"/>
        <family val="0"/>
        <charset val="1"/>
      </rPr>
      <t xml:space="preserve">= </t>
    </r>
    <r>
      <rPr>
        <i val="true"/>
        <sz val="10"/>
        <rFont val="Noto Sans CJK SC"/>
        <family val="2"/>
      </rPr>
      <t xml:space="preserve">입력 셀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노란 칸 </t>
    </r>
    <r>
      <rPr>
        <i val="true"/>
        <sz val="10"/>
        <rFont val="Arial"/>
        <family val="0"/>
        <charset val="1"/>
      </rPr>
      <t xml:space="preserve">= </t>
    </r>
    <r>
      <rPr>
        <i val="true"/>
        <sz val="10"/>
        <rFont val="Noto Sans CJK SC"/>
        <family val="2"/>
      </rPr>
      <t xml:space="preserve">핵심 시나리오 레버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이름은 모두 </t>
    </r>
    <r>
      <rPr>
        <i val="true"/>
        <sz val="10"/>
        <rFont val="Arial"/>
        <family val="0"/>
        <charset val="1"/>
      </rPr>
      <t xml:space="preserve">B</t>
    </r>
    <r>
      <rPr>
        <i val="true"/>
        <sz val="10"/>
        <rFont val="Noto Sans CJK SC"/>
        <family val="2"/>
      </rPr>
      <t xml:space="preserve">열에서 읽습니다</t>
    </r>
    <r>
      <rPr>
        <i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</si>
  <si>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연회비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부가세 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</si>
  <si>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문서 가정</t>
  </si>
  <si>
    <t xml:space="preserve">부가세율</t>
  </si>
  <si>
    <r>
      <rPr>
        <sz val="10"/>
        <rFont val="Noto Sans CJK SC"/>
        <family val="2"/>
      </rPr>
      <t xml:space="preserve">서버비 기준액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</si>
  <si>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이전 추산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Noto Sans CJK SC"/>
        <family val="2"/>
      </rPr>
      <t xml:space="preserve">회원 </t>
    </r>
    <r>
      <rPr>
        <i val="true"/>
        <sz val="10"/>
        <color rgb="FF595959"/>
        <rFont val="Arial"/>
        <family val="0"/>
        <charset val="1"/>
      </rPr>
      <t xml:space="preserve">15,000</t>
    </r>
    <r>
      <rPr>
        <i val="true"/>
        <sz val="10"/>
        <color rgb="FF595959"/>
        <rFont val="Noto Sans CJK SC"/>
        <family val="2"/>
      </rPr>
      <t xml:space="preserve">명 기준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검증되지 않음</t>
    </r>
  </si>
  <si>
    <r>
      <rPr>
        <sz val="10"/>
        <rFont val="Noto Sans CJK SC"/>
        <family val="2"/>
      </rPr>
      <t xml:space="preserve">서버비 기준 회원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</si>
  <si>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위와 한 쌍</t>
  </si>
  <si>
    <r>
      <rPr>
        <sz val="10"/>
        <rFont val="Noto Sans CJK SC"/>
        <family val="2"/>
      </rPr>
      <t xml:space="preserve">종량제 배수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서버비의 몇 배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</si>
  <si>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민감도 시트에서 </t>
    </r>
    <r>
      <rPr>
        <i val="true"/>
        <sz val="10"/>
        <color rgb="FF595959"/>
        <rFont val="Arial"/>
        <family val="0"/>
        <charset val="1"/>
      </rPr>
      <t xml:space="preserve">1~10</t>
    </r>
    <r>
      <rPr>
        <i val="true"/>
        <sz val="10"/>
        <color rgb="FF595959"/>
        <rFont val="Noto Sans CJK SC"/>
        <family val="2"/>
      </rPr>
      <t xml:space="preserve">배 비교</t>
    </r>
  </si>
  <si>
    <r>
      <rPr>
        <sz val="10"/>
        <rFont val="Noto Sans CJK SC"/>
        <family val="2"/>
      </rPr>
      <t xml:space="preserve">검토 수수료율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종량제의 비율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차 연도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</si>
  <si>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마케팅비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가입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</si>
  <si>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주주 무상 모집이라 </t>
    </r>
    <r>
      <rPr>
        <i val="true"/>
        <sz val="10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</si>
  <si>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임원 보수 합계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</si>
  <si>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대표이사 </t>
    </r>
    <r>
      <rPr>
        <i val="true"/>
        <sz val="10"/>
        <color rgb="FF595959"/>
        <rFont val="Arial"/>
        <family val="0"/>
        <charset val="1"/>
      </rPr>
      <t xml:space="preserve">1,200</t>
    </r>
    <r>
      <rPr>
        <i val="true"/>
        <sz val="10"/>
        <color rgb="FF595959"/>
        <rFont val="Noto Sans CJK SC"/>
        <family val="2"/>
      </rPr>
      <t xml:space="preserve">만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Noto Sans CJK SC"/>
        <family val="2"/>
      </rPr>
      <t xml:space="preserve">이사 </t>
    </r>
    <r>
      <rPr>
        <i val="true"/>
        <sz val="10"/>
        <color rgb="FF595959"/>
        <rFont val="Arial"/>
        <family val="0"/>
        <charset val="1"/>
      </rPr>
      <t xml:space="preserve">2</t>
    </r>
    <r>
      <rPr>
        <i val="true"/>
        <sz val="10"/>
        <color rgb="FF595959"/>
        <rFont val="Noto Sans CJK SC"/>
        <family val="2"/>
      </rPr>
      <t xml:space="preserve">명 각 </t>
    </r>
    <r>
      <rPr>
        <i val="true"/>
        <sz val="10"/>
        <color rgb="FF595959"/>
        <rFont val="Arial"/>
        <family val="0"/>
        <charset val="1"/>
      </rPr>
      <t xml:space="preserve">800</t>
    </r>
    <r>
      <rPr>
        <i val="true"/>
        <sz val="10"/>
        <color rgb="FF595959"/>
        <rFont val="Noto Sans CJK SC"/>
        <family val="2"/>
      </rPr>
      <t xml:space="preserve">만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Noto Sans CJK SC"/>
        <family val="2"/>
      </rPr>
      <t xml:space="preserve">감사 </t>
    </r>
    <r>
      <rPr>
        <i val="true"/>
        <sz val="10"/>
        <color rgb="FF595959"/>
        <rFont val="Arial"/>
        <family val="0"/>
        <charset val="1"/>
      </rPr>
      <t xml:space="preserve">800</t>
    </r>
    <r>
      <rPr>
        <i val="true"/>
        <sz val="10"/>
        <color rgb="FF595959"/>
        <rFont val="Noto Sans CJK SC"/>
        <family val="2"/>
      </rPr>
      <t xml:space="preserve">만 가정</t>
    </r>
  </si>
  <si>
    <r>
      <rPr>
        <sz val="10"/>
        <rFont val="Noto Sans CJK SC"/>
        <family val="2"/>
      </rPr>
      <t xml:space="preserve">유지비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</si>
  <si>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기장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결산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등기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보험 등 가정</t>
    </r>
  </si>
  <si>
    <r>
      <rPr>
        <sz val="10"/>
        <rFont val="Noto Sans CJK SC"/>
        <family val="2"/>
      </rPr>
      <t xml:space="preserve">나비웹 납입 자본금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</si>
  <si>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</rPr>
      <t xml:space="preserve">만 주 </t>
    </r>
    <r>
      <rPr>
        <i val="true"/>
        <sz val="10"/>
        <color rgb="FF595959"/>
        <rFont val="Arial"/>
        <family val="0"/>
        <charset val="1"/>
      </rPr>
      <t xml:space="preserve">× 100</t>
    </r>
    <r>
      <rPr>
        <i val="true"/>
        <sz val="10"/>
        <color rgb="FF595959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</si>
  <si>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배당 하한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배당성향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</si>
  <si>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코스피 </t>
    </r>
    <r>
      <rPr>
        <i val="true"/>
        <sz val="10"/>
        <color rgb="FF595959"/>
        <rFont val="Arial"/>
        <family val="0"/>
        <charset val="1"/>
      </rPr>
      <t xml:space="preserve">12</t>
    </r>
    <r>
      <rPr>
        <i val="true"/>
        <sz val="10"/>
        <color rgb="FF595959"/>
        <rFont val="Noto Sans CJK SC"/>
        <family val="2"/>
      </rPr>
      <t xml:space="preserve">월 결산법인 평균 배당성향</t>
    </r>
    <r>
      <rPr>
        <i val="true"/>
        <sz val="10"/>
        <color rgb="FF595959"/>
        <rFont val="Arial"/>
        <family val="0"/>
        <charset val="1"/>
      </rPr>
      <t xml:space="preserve">, 2025</t>
    </r>
    <r>
      <rPr>
        <i val="true"/>
        <sz val="10"/>
        <color rgb="FF595959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</si>
  <si>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배당 상한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배당성향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하한의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</si>
  <si>
    <r>
      <rPr>
        <sz val="10"/>
        <rFont val="Noto Sans CJK SC"/>
        <family val="2"/>
      </rPr>
      <t xml:space="preserve">법인세율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억 원 이하</t>
    </r>
    <r>
      <rPr>
        <sz val="10"/>
        <rFont val="Arial"/>
        <family val="0"/>
        <charset val="1"/>
      </rPr>
      <t xml:space="preserve">)</t>
    </r>
  </si>
  <si>
    <t xml:space="preserve">현행 세율 확인 필요</t>
  </si>
  <si>
    <r>
      <rPr>
        <sz val="10"/>
        <rFont val="Noto Sans CJK SC"/>
        <family val="2"/>
      </rPr>
      <t xml:space="preserve">법인세율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억 원 초과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</si>
  <si>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법인세 경계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</si>
  <si>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 설치비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 원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</si>
  <si>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대당 </t>
    </r>
    <r>
      <rPr>
        <i val="true"/>
        <sz val="10"/>
        <color rgb="FF595959"/>
        <rFont val="Arial"/>
        <family val="0"/>
        <charset val="1"/>
      </rPr>
      <t xml:space="preserve">31.5</t>
    </r>
    <r>
      <rPr>
        <i val="true"/>
        <sz val="10"/>
        <color rgb="FF595959"/>
        <rFont val="Noto Sans CJK SC"/>
        <family val="2"/>
      </rPr>
      <t xml:space="preserve">만 달러 </t>
    </r>
    <r>
      <rPr>
        <i val="true"/>
        <sz val="10"/>
        <color rgb="FF595959"/>
        <rFont val="Arial"/>
        <family val="0"/>
        <charset val="1"/>
      </rPr>
      <t xml:space="preserve">× </t>
    </r>
    <r>
      <rPr>
        <i val="true"/>
        <sz val="10"/>
        <color rgb="FF595959"/>
        <rFont val="Noto Sans CJK SC"/>
        <family val="2"/>
      </rPr>
      <t xml:space="preserve">환율 </t>
    </r>
    <r>
      <rPr>
        <i val="true"/>
        <sz val="10"/>
        <color rgb="FF595959"/>
        <rFont val="Arial"/>
        <family val="0"/>
        <charset val="1"/>
      </rPr>
      <t xml:space="preserve">1,400 × (1+</t>
    </r>
    <r>
      <rPr>
        <i val="true"/>
        <sz val="10"/>
        <color rgb="FF595959"/>
        <rFont val="Noto Sans CJK SC"/>
        <family val="2"/>
      </rPr>
      <t xml:space="preserve">부대비용 </t>
    </r>
    <r>
      <rPr>
        <i val="true"/>
        <sz val="10"/>
        <color rgb="FF595959"/>
        <rFont val="Arial"/>
        <family val="0"/>
        <charset val="1"/>
      </rPr>
      <t xml:space="preserve">30%) </t>
    </r>
    <r>
      <rPr>
        <i val="true"/>
        <sz val="10"/>
        <color rgb="FF595959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</si>
  <si>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달성률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개월 목표 대비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시나리오</t>
    </r>
  </si>
  <si>
    <r>
      <rPr>
        <i val="true"/>
        <sz val="10"/>
        <color rgb="FF595959"/>
        <rFont val="Arial"/>
        <family val="0"/>
        <charset val="1"/>
      </rPr>
      <t xml:space="preserve">20%/50%/100% </t>
    </r>
    <r>
      <rPr>
        <i val="true"/>
        <sz val="10"/>
        <color rgb="FF595959"/>
        <rFont val="Noto Sans CJK SC"/>
        <family val="2"/>
      </rPr>
      <t xml:space="preserve">등으로 바꿔 보세요</t>
    </r>
  </si>
  <si>
    <r>
      <rPr>
        <sz val="10"/>
        <rFont val="Noto Sans CJK SC"/>
        <family val="2"/>
      </rPr>
      <t xml:space="preserve">임원 보수 지급 개시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시장 대비 가입자 비율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</si>
  <si>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이 비율에 이를 때까지 임원 보수 </t>
    </r>
    <r>
      <rPr>
        <i val="true"/>
        <sz val="10"/>
        <color rgb="FF595959"/>
        <rFont val="Arial"/>
        <family val="0"/>
        <charset val="1"/>
      </rPr>
      <t xml:space="preserve">0</t>
    </r>
    <r>
      <rPr>
        <i val="true"/>
        <sz val="10"/>
        <color rgb="FF595959"/>
        <rFont val="Noto Sans CJK SC"/>
        <family val="2"/>
      </rPr>
      <t xml:space="preserve">원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도달한 달의 다음 달부터 지급</t>
    </r>
  </si>
  <si>
    <t xml:space="preserve">파생값</t>
  </si>
  <si>
    <r>
      <rPr>
        <sz val="11"/>
        <color theme="1"/>
        <rFont val="Noto Sans CJK SC"/>
        <family val="2"/>
      </rPr>
      <t xml:space="preserve">서버비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회원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명</t>
    </r>
    <r>
      <rPr>
        <sz val="11"/>
        <color theme="1"/>
        <rFont val="Calibri"/>
        <family val="2"/>
        <charset val="1"/>
      </rPr>
      <t xml:space="preserve">·1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</si>
  <si>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연회비 공급가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</si>
  <si>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월 수익 인식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</si>
  <si>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요약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억 원</t>
    </r>
    <r>
      <rPr>
        <b val="true"/>
        <sz val="12"/>
        <rFont val="Arial"/>
        <family val="0"/>
        <charset val="1"/>
      </rPr>
      <t xml:space="preserve">)</t>
    </r>
  </si>
  <si>
    <t xml:space="preserve">직종</t>
  </si>
  <si>
    <r>
      <rPr>
        <b val="true"/>
        <sz val="10"/>
        <color rgb="FFFFFFFF"/>
        <rFont val="Noto Sans CJK SC"/>
        <family val="2"/>
      </rPr>
      <t xml:space="preserve">목표 회원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</si>
  <si>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연회비 입금</t>
  </si>
  <si>
    <t xml:space="preserve">종량제 수입</t>
  </si>
  <si>
    <t xml:space="preserve">서버비</t>
  </si>
  <si>
    <t xml:space="preserve">순이익</t>
  </si>
  <si>
    <t xml:space="preserve">배당 하한</t>
  </si>
  <si>
    <t xml:space="preserve">배당 상한</t>
  </si>
  <si>
    <t xml:space="preserve">로열티 최소</t>
  </si>
  <si>
    <t xml:space="preserve">로열티 최대</t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</si>
  <si>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개월 말 현금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지급 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</si>
  <si>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첫 서버 분담금 몫</t>
  </si>
  <si>
    <r>
      <rPr>
        <b val="true"/>
        <sz val="12"/>
        <rFont val="Noto Sans CJK SC"/>
        <family val="2"/>
      </rPr>
      <t xml:space="preserve">직종별 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차 연도 재무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원 단위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입찰 대금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서버 분담금 제외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</si>
  <si>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시장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</si>
  <si>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개월 누적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</si>
  <si>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</si>
  <si>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</si>
  <si>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</si>
  <si>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개월 누적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목표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</si>
  <si>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달성률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</si>
  <si>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차 연도 가입자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</si>
  <si>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Noto Sans CJK SC"/>
        <family val="2"/>
      </rPr>
      <t xml:space="preserve">서버비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</si>
  <si>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연회비 입금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</si>
  <si>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연회비 부가세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</si>
  <si>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연회비 공급가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</si>
  <si>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종량제 수입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</si>
  <si>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개월 말 선수수익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</si>
  <si>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인식 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</si>
  <si>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마케팅비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</si>
  <si>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고정비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</si>
  <si>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세전이익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</si>
  <si>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법인세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</si>
  <si>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순이익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</si>
  <si>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배당 하한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</si>
  <si>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배당 상한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</si>
  <si>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로열티 최소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</si>
  <si>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로열티 최대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</si>
  <si>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개월 말 현금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지급 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</si>
  <si>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시장 규모 비율</t>
  </si>
  <si>
    <r>
      <rPr>
        <b val="true"/>
        <sz val="10"/>
        <color rgb="FFFFFFFF"/>
        <rFont val="Noto Sans CJK SC"/>
        <family val="2"/>
      </rPr>
      <t xml:space="preserve">첫 서버 분담금 몫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 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</si>
  <si>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100% </t>
    </r>
    <r>
      <rPr>
        <b val="true"/>
        <sz val="10"/>
        <color rgb="FFFFFFFF"/>
        <rFont val="Noto Sans CJK SC"/>
        <family val="2"/>
      </rPr>
      <t xml:space="preserve">기준 인식수익−서버비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</si>
  <si>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100% </t>
    </r>
    <r>
      <rPr>
        <b val="true"/>
        <sz val="10"/>
        <color rgb="FFFFFFFF"/>
        <rFont val="Noto Sans CJK SC"/>
        <family val="2"/>
      </rPr>
      <t xml:space="preserve">기준 서버비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</si>
  <si>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나비 법무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나비로</t>
    </r>
    <r>
      <rPr>
        <sz val="10"/>
        <rFont val="Arial"/>
        <family val="0"/>
        <charset val="1"/>
      </rPr>
      <t xml:space="preserve">)</t>
    </r>
  </si>
  <si>
    <t xml:space="preserve">나비 행정</t>
  </si>
  <si>
    <t xml:space="preserve">나비 변호사</t>
  </si>
  <si>
    <t xml:space="preserve">나비 회계</t>
  </si>
  <si>
    <t xml:space="preserve">나비 세무</t>
  </si>
  <si>
    <t xml:space="preserve">나비 변리</t>
  </si>
  <si>
    <t xml:space="preserve">나비 감정</t>
  </si>
  <si>
    <t xml:space="preserve">나비 의사</t>
  </si>
  <si>
    <t xml:space="preserve">나비 중개</t>
  </si>
  <si>
    <t xml:space="preserve">나비 약사</t>
  </si>
  <si>
    <t xml:space="preserve">나비 한의</t>
  </si>
  <si>
    <t xml:space="preserve">합계</t>
  </si>
  <si>
    <r>
      <rPr>
        <i val="true"/>
        <sz val="10"/>
        <rFont val="Noto Sans CJK SC"/>
        <family val="2"/>
      </rPr>
      <t xml:space="preserve">열 </t>
    </r>
    <r>
      <rPr>
        <i val="true"/>
        <sz val="10"/>
        <rFont val="Arial"/>
        <family val="0"/>
        <charset val="1"/>
      </rPr>
      <t xml:space="preserve">16(</t>
    </r>
    <r>
      <rPr>
        <i val="true"/>
        <sz val="10"/>
        <rFont val="Noto Sans CJK SC"/>
        <family val="2"/>
      </rPr>
      <t xml:space="preserve">선수수익</t>
    </r>
    <r>
      <rPr>
        <i val="true"/>
        <sz val="10"/>
        <rFont val="Arial"/>
        <family val="0"/>
        <charset val="1"/>
      </rPr>
      <t xml:space="preserve">): </t>
    </r>
    <r>
      <rPr>
        <i val="true"/>
        <sz val="10"/>
        <rFont val="Noto Sans CJK SC"/>
        <family val="2"/>
      </rPr>
      <t xml:space="preserve">월별 코호트 인식 후 </t>
    </r>
    <r>
      <rPr>
        <i val="true"/>
        <sz val="10"/>
        <rFont val="Arial"/>
        <family val="0"/>
        <charset val="1"/>
      </rPr>
      <t xml:space="preserve">12</t>
    </r>
    <r>
      <rPr>
        <i val="true"/>
        <sz val="10"/>
        <rFont val="Noto Sans CJK SC"/>
        <family val="2"/>
      </rPr>
      <t xml:space="preserve">개월 말 잔액 </t>
    </r>
    <r>
      <rPr>
        <i val="true"/>
        <sz val="10"/>
        <rFont val="Arial"/>
        <family val="0"/>
        <charset val="1"/>
      </rPr>
      <t xml:space="preserve">= </t>
    </r>
    <r>
      <rPr>
        <i val="true"/>
        <sz val="10"/>
        <rFont val="Noto Sans CJK SC"/>
        <family val="2"/>
      </rPr>
      <t xml:space="preserve">월 인식액 </t>
    </r>
    <r>
      <rPr>
        <i val="true"/>
        <sz val="10"/>
        <rFont val="Arial"/>
        <family val="0"/>
        <charset val="1"/>
      </rPr>
      <t xml:space="preserve">× Σ(</t>
    </r>
    <r>
      <rPr>
        <i val="true"/>
        <sz val="10"/>
        <rFont val="Noto Sans CJK SC"/>
        <family val="2"/>
      </rPr>
      <t xml:space="preserve">신규 가입 </t>
    </r>
    <r>
      <rPr>
        <i val="true"/>
        <sz val="10"/>
        <rFont val="Arial"/>
        <family val="0"/>
        <charset val="1"/>
      </rPr>
      <t xml:space="preserve">× (</t>
    </r>
    <r>
      <rPr>
        <i val="true"/>
        <sz val="10"/>
        <rFont val="Noto Sans CJK SC"/>
        <family val="2"/>
      </rPr>
      <t xml:space="preserve">가입 월 − </t>
    </r>
    <r>
      <rPr>
        <i val="true"/>
        <sz val="10"/>
        <rFont val="Arial"/>
        <family val="0"/>
        <charset val="1"/>
      </rPr>
      <t xml:space="preserve">1)). 2</t>
    </r>
    <r>
      <rPr>
        <i val="true"/>
        <sz val="10"/>
        <rFont val="Noto Sans CJK SC"/>
        <family val="2"/>
      </rPr>
      <t xml:space="preserve">차 연도 전망은 문서</t>
    </r>
    <r>
      <rPr>
        <i val="true"/>
        <sz val="10"/>
        <rFont val="Arial"/>
        <family val="0"/>
        <charset val="1"/>
      </rPr>
      <t xml:space="preserve">(MD)</t>
    </r>
    <r>
      <rPr>
        <i val="true"/>
        <sz val="10"/>
        <rFont val="Noto Sans CJK SC"/>
        <family val="2"/>
      </rPr>
      <t xml:space="preserve">의 표를 참고하세요</t>
    </r>
    <r>
      <rPr>
        <i val="true"/>
        <sz val="10"/>
        <rFont val="Arial"/>
        <family val="0"/>
        <charset val="1"/>
      </rPr>
      <t xml:space="preserve">.</t>
    </r>
  </si>
  <si>
    <r>
      <rPr>
        <i val="true"/>
        <sz val="10"/>
        <rFont val="Noto Sans CJK SC"/>
        <family val="2"/>
      </rPr>
      <t xml:space="preserve">모든 칸이 입력 시트의 가정에서 계산됩니다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파란색 글자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시장</t>
    </r>
    <r>
      <rPr>
        <i val="true"/>
        <sz val="10"/>
        <rFont val="Arial"/>
        <family val="0"/>
        <charset val="1"/>
      </rPr>
      <t xml:space="preserve">·</t>
    </r>
    <r>
      <rPr>
        <i val="true"/>
        <sz val="10"/>
        <rFont val="Noto Sans CJK SC"/>
        <family val="2"/>
      </rPr>
      <t xml:space="preserve">누적 목표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Noto Sans CJK SC"/>
        <family val="2"/>
      </rPr>
      <t xml:space="preserve">만 입력 칸입니다</t>
    </r>
    <r>
      <rPr>
        <i val="true"/>
        <sz val="10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</si>
  <si>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민감도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달성률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종량제 배수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선택한 직종</t>
    </r>
    <r>
      <rPr>
        <b val="true"/>
        <sz val="12"/>
        <rFont val="Arial"/>
        <family val="0"/>
        <charset val="1"/>
      </rPr>
      <t xml:space="preserve">, 1</t>
    </r>
    <r>
      <rPr>
        <b val="true"/>
        <sz val="12"/>
        <rFont val="Noto Sans CJK SC"/>
        <family val="2"/>
      </rPr>
      <t xml:space="preserve">차 연도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억 원</t>
    </r>
    <r>
      <rPr>
        <b val="true"/>
        <sz val="12"/>
        <rFont val="Arial"/>
        <family val="0"/>
        <charset val="1"/>
      </rPr>
      <t xml:space="preserve">)</t>
    </r>
  </si>
  <si>
    <t xml:space="preserve">직종 선택</t>
  </si>
  <si>
    <r>
      <rPr>
        <sz val="11"/>
        <color theme="1"/>
        <rFont val="Noto Sans CJK SC"/>
        <family val="2"/>
      </rPr>
      <t xml:space="preserve">선택 직종의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기준 인식수익−서버비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</si>
  <si>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선택 직종의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기준 서버비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</si>
  <si>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고정비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임원 보수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개월분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유지비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목표 달성 시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</si>
  <si>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마케팅비는 </t>
    </r>
    <r>
      <rPr>
        <i val="true"/>
        <sz val="10"/>
        <rFont val="Arial"/>
        <family val="0"/>
        <charset val="1"/>
      </rPr>
      <t xml:space="preserve">0</t>
    </r>
    <r>
      <rPr>
        <i val="true"/>
        <sz val="10"/>
        <rFont val="Noto Sans CJK SC"/>
        <family val="2"/>
      </rPr>
      <t xml:space="preserve">이라고 가정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입력 시트의 마케팅비 </t>
    </r>
    <r>
      <rPr>
        <i val="true"/>
        <sz val="10"/>
        <rFont val="Arial"/>
        <family val="0"/>
        <charset val="1"/>
      </rPr>
      <t xml:space="preserve">× </t>
    </r>
    <r>
      <rPr>
        <i val="true"/>
        <sz val="10"/>
        <rFont val="Noto Sans CJK SC"/>
        <family val="2"/>
      </rPr>
      <t xml:space="preserve">회원 수는 이 표에 반영하지 않음</t>
    </r>
    <r>
      <rPr>
        <i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</si>
  <si>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연도 순이익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억 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</si>
  <si>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달성률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Noto Sans CJK SC"/>
        <family val="2"/>
      </rPr>
      <t xml:space="preserve">종량제 배수</t>
    </r>
  </si>
  <si>
    <r>
      <rPr>
        <b val="true"/>
        <sz val="10"/>
        <rFont val="Noto Sans CJK SC"/>
        <family val="2"/>
      </rPr>
      <t xml:space="preserve">배당 하한 금액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억 원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순이익 </t>
    </r>
    <r>
      <rPr>
        <b val="true"/>
        <sz val="10"/>
        <rFont val="Arial"/>
        <family val="0"/>
        <charset val="1"/>
      </rPr>
      <t xml:space="preserve">× 31.1%)</t>
    </r>
  </si>
  <si>
    <r>
      <rPr>
        <i val="true"/>
        <sz val="10"/>
        <rFont val="Noto Sans CJK SC"/>
        <family val="2"/>
      </rPr>
      <t xml:space="preserve">읽는 법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종량제 배수를 </t>
    </r>
    <r>
      <rPr>
        <i val="true"/>
        <sz val="10"/>
        <rFont val="Arial"/>
        <family val="0"/>
        <charset val="1"/>
      </rPr>
      <t xml:space="preserve">1</t>
    </r>
    <r>
      <rPr>
        <i val="true"/>
        <sz val="10"/>
        <rFont val="Noto Sans CJK SC"/>
        <family val="2"/>
      </rPr>
      <t xml:space="preserve">배로 낮춰도 연회비 수입이 순이익을 대부분 결정합니다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달성률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가입자 수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Noto Sans CJK SC"/>
        <family val="2"/>
      </rPr>
      <t xml:space="preserve">과 갱신율이 핵심 변수입니다</t>
    </r>
    <r>
      <rPr>
        <i val="true"/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</si>
</sst>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0.000"/>
    <numFmt numFmtId="169" formatCode="0%"/>
    <numFmt numFmtId="170" formatCode="#,##0.0"/>
    <numFmt numFmtId="171" formatCode="0.00"/>
    <numFmt numFmtId="172" formatCode="0\배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29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9.8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29.85" hidden="false" customHeight="false" outlineLevel="0" collapsed="false">
      <c r="A17" s="4" t="s">
        <v>14</v>
      </c>
    </row>
    <row r="18" customFormat="false" ht="29.85" hidden="false" customHeight="false" outlineLevel="0" collapsed="false">
      <c r="A18" s="4" t="s">
        <v>15</v>
      </c>
    </row>
    <row r="19" customFormat="false" ht="44" hidden="false" customHeight="false" outlineLevel="0" collapsed="false">
      <c r="A19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17</v>
      </c>
    </row>
    <row r="2" customFormat="false" ht="15" hidden="false" customHeight="false" outlineLevel="0" collapsed="false">
      <c r="A2" s="6" t="s">
        <v>18</v>
      </c>
    </row>
    <row r="4" customFormat="false" ht="15" hidden="false" customHeight="false" outlineLevel="0" collapsed="false">
      <c r="A4" s="7" t="s">
        <v>19</v>
      </c>
      <c r="B4" s="8" t="n">
        <v>99000</v>
      </c>
      <c r="C4" s="9" t="s">
        <v>20</v>
      </c>
    </row>
    <row r="5" customFormat="false" ht="15" hidden="false" customHeight="false" outlineLevel="0" collapsed="false">
      <c r="A5" s="7" t="s">
        <v>21</v>
      </c>
      <c r="B5" s="10" t="n">
        <v>0.1</v>
      </c>
      <c r="C5" s="9"/>
    </row>
    <row r="6" customFormat="false" ht="15" hidden="false" customHeight="false" outlineLevel="0" collapsed="false">
      <c r="A6" s="7" t="s">
        <v>22</v>
      </c>
      <c r="B6" s="8" t="n">
        <v>340000000</v>
      </c>
      <c r="C6" s="9" t="s">
        <v>23</v>
      </c>
    </row>
    <row r="7" customFormat="false" ht="15" hidden="false" customHeight="false" outlineLevel="0" collapsed="false">
      <c r="A7" s="7" t="s">
        <v>24</v>
      </c>
      <c r="B7" s="8" t="n">
        <v>15000</v>
      </c>
      <c r="C7" s="9" t="s">
        <v>25</v>
      </c>
    </row>
    <row r="8" customFormat="false" ht="15" hidden="false" customHeight="false" outlineLevel="0" collapsed="false">
      <c r="A8" s="7" t="s">
        <v>26</v>
      </c>
      <c r="B8" s="11" t="n">
        <v>10</v>
      </c>
      <c r="C8" s="9" t="s">
        <v>27</v>
      </c>
    </row>
    <row r="9" customFormat="false" ht="15" hidden="false" customHeight="false" outlineLevel="0" collapsed="false">
      <c r="A9" s="7" t="s">
        <v>28</v>
      </c>
      <c r="B9" s="10" t="n">
        <v>0.1</v>
      </c>
      <c r="C9" s="9" t="s">
        <v>20</v>
      </c>
    </row>
    <row r="10" customFormat="false" ht="15" hidden="false" customHeight="false" outlineLevel="0" collapsed="false">
      <c r="A10" s="7" t="s">
        <v>29</v>
      </c>
      <c r="B10" s="8" t="n">
        <v>0</v>
      </c>
      <c r="C10" s="9" t="s">
        <v>30</v>
      </c>
    </row>
    <row r="11" customFormat="false" ht="15" hidden="false" customHeight="false" outlineLevel="0" collapsed="false">
      <c r="A11" s="7" t="s">
        <v>31</v>
      </c>
      <c r="B11" s="8" t="n">
        <v>36000000</v>
      </c>
      <c r="C11" s="9" t="s">
        <v>32</v>
      </c>
    </row>
    <row r="12" customFormat="false" ht="15" hidden="false" customHeight="false" outlineLevel="0" collapsed="false">
      <c r="A12" s="7" t="s">
        <v>33</v>
      </c>
      <c r="B12" s="8" t="n">
        <v>15000000</v>
      </c>
      <c r="C12" s="9" t="s">
        <v>34</v>
      </c>
    </row>
    <row r="13" customFormat="false" ht="15" hidden="false" customHeight="false" outlineLevel="0" collapsed="false">
      <c r="A13" s="7" t="s">
        <v>35</v>
      </c>
      <c r="B13" s="8" t="n">
        <v>1000000</v>
      </c>
      <c r="C13" s="12" t="s">
        <v>36</v>
      </c>
    </row>
    <row r="14" customFormat="false" ht="15" hidden="false" customHeight="false" outlineLevel="0" collapsed="false">
      <c r="A14" s="7" t="s">
        <v>37</v>
      </c>
      <c r="B14" s="10" t="n">
        <v>0.311</v>
      </c>
      <c r="C14" s="9" t="s">
        <v>38</v>
      </c>
    </row>
    <row r="15" customFormat="false" ht="15" hidden="false" customHeight="false" outlineLevel="0" collapsed="false">
      <c r="A15" s="7" t="s">
        <v>39</v>
      </c>
      <c r="B15" s="13" t="n">
        <f aca="false">B14*2</f>
        <v>0.622</v>
      </c>
      <c r="C15" s="9"/>
    </row>
    <row r="16" customFormat="false" ht="15" hidden="false" customHeight="false" outlineLevel="0" collapsed="false">
      <c r="A16" s="7" t="s">
        <v>40</v>
      </c>
      <c r="B16" s="10" t="n">
        <v>0.09</v>
      </c>
      <c r="C16" s="9" t="s">
        <v>41</v>
      </c>
    </row>
    <row r="17" customFormat="false" ht="15" hidden="false" customHeight="false" outlineLevel="0" collapsed="false">
      <c r="A17" s="7" t="s">
        <v>42</v>
      </c>
      <c r="B17" s="10" t="n">
        <v>0.19</v>
      </c>
      <c r="C17" s="9" t="s">
        <v>41</v>
      </c>
    </row>
    <row r="18" customFormat="false" ht="15" hidden="false" customHeight="false" outlineLevel="0" collapsed="false">
      <c r="A18" s="7" t="s">
        <v>43</v>
      </c>
      <c r="B18" s="8" t="n">
        <v>200000000</v>
      </c>
      <c r="C18" s="9"/>
    </row>
    <row r="19" customFormat="false" ht="15" hidden="false" customHeight="false" outlineLevel="0" collapsed="false">
      <c r="A19" s="7" t="s">
        <v>44</v>
      </c>
      <c r="B19" s="14" t="n">
        <v>5.733</v>
      </c>
      <c r="C19" s="9" t="s">
        <v>45</v>
      </c>
    </row>
    <row r="20" customFormat="false" ht="15" hidden="false" customHeight="false" outlineLevel="0" collapsed="false">
      <c r="A20" s="7" t="s">
        <v>46</v>
      </c>
      <c r="B20" s="15" t="n">
        <v>1</v>
      </c>
      <c r="C20" s="12" t="s">
        <v>47</v>
      </c>
    </row>
    <row r="21" customFormat="false" ht="15" hidden="false" customHeight="false" outlineLevel="0" collapsed="false">
      <c r="A21" s="7" t="s">
        <v>48</v>
      </c>
      <c r="B21" s="16" t="n">
        <v>0.1</v>
      </c>
      <c r="C21" s="9" t="s">
        <v>49</v>
      </c>
    </row>
    <row r="23" customFormat="false" ht="15" hidden="false" customHeight="false" outlineLevel="0" collapsed="false">
      <c r="A23" s="17" t="s">
        <v>50</v>
      </c>
    </row>
    <row r="24" customFormat="false" ht="17.15" hidden="false" customHeight="false" outlineLevel="0" collapsed="false">
      <c r="A24" s="18" t="s">
        <v>51</v>
      </c>
      <c r="B24" s="19" t="n">
        <f aca="false">B6/B7/12</f>
        <v>1888.88888888889</v>
      </c>
    </row>
    <row r="25" customFormat="false" ht="17.15" hidden="false" customHeight="false" outlineLevel="0" collapsed="false">
      <c r="A25" s="18" t="s">
        <v>52</v>
      </c>
      <c r="B25" s="20" t="n">
        <f aca="false">B4/(1+B5)</f>
        <v>90000</v>
      </c>
    </row>
    <row r="26" customFormat="false" ht="17.15" hidden="false" customHeight="false" outlineLevel="0" collapsed="false">
      <c r="A26" s="18" t="s">
        <v>53</v>
      </c>
      <c r="B26" s="20" t="n">
        <f aca="false">B25/12</f>
        <v>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2" min="2" style="0" width="14"/>
  </cols>
  <sheetData>
    <row r="1" customFormat="false" ht="19.4" hidden="false" customHeight="false" outlineLevel="0" collapsed="false">
      <c r="A1" s="5" t="s">
        <v>54</v>
      </c>
    </row>
    <row r="3" customFormat="false" ht="29.85" hidden="false" customHeight="false" outlineLevel="0" collapsed="false">
      <c r="A3" s="21" t="s">
        <v>55</v>
      </c>
      <c r="B3" s="21" t="s">
        <v>56</v>
      </c>
      <c r="C3" s="21" t="s">
        <v>57</v>
      </c>
      <c r="D3" s="21" t="s">
        <v>58</v>
      </c>
      <c r="E3" s="21" t="s">
        <v>59</v>
      </c>
      <c r="F3" s="21" t="s">
        <v>60</v>
      </c>
      <c r="G3" s="21" t="s">
        <v>61</v>
      </c>
      <c r="H3" s="21" t="s">
        <v>62</v>
      </c>
      <c r="I3" s="21" t="s">
        <v>63</v>
      </c>
      <c r="J3" s="21" t="s">
        <v>64</v>
      </c>
      <c r="K3" s="22" t="s">
        <v>65</v>
      </c>
      <c r="L3" s="21" t="s">
        <v>66</v>
      </c>
    </row>
    <row r="4" customFormat="false" ht="15" hidden="false" customHeight="false" outlineLevel="0" collapsed="false">
      <c r="A4" s="23" t="str">
        <f aca="false">직종별!A4</f>
        <v>나비 법무(나비로)</v>
      </c>
      <c r="B4" s="24" t="n">
        <f aca="false">직종별!I4</f>
        <v>4700</v>
      </c>
      <c r="C4" s="23" t="n">
        <f aca="false">직종별!L4/100000000</f>
        <v>4.653</v>
      </c>
      <c r="D4" s="23" t="n">
        <f aca="false">직종별!O4/100000000</f>
        <v>8.48111111111111</v>
      </c>
      <c r="E4" s="23" t="n">
        <f aca="false">직종별!K4/100000000</f>
        <v>0.848111111111111</v>
      </c>
      <c r="F4" s="23" t="n">
        <f aca="false">직종별!V4/100000000</f>
        <v>8.770205</v>
      </c>
      <c r="G4" s="23" t="n">
        <f aca="false">직종별!W4/100000000</f>
        <v>2.727533755</v>
      </c>
      <c r="H4" s="23" t="n">
        <f aca="false">직종별!X4/100000000</f>
        <v>5.45506751</v>
      </c>
      <c r="I4" s="23" t="n">
        <f aca="false">직종별!Y4/100000000</f>
        <v>3.31513749</v>
      </c>
      <c r="J4" s="23" t="n">
        <f aca="false">직종별!Z4/100000000</f>
        <v>6.042671245</v>
      </c>
      <c r="K4" s="23" t="n">
        <f aca="false">직종별!AA4/100000000</f>
        <v>11.453</v>
      </c>
      <c r="L4" s="23" t="n">
        <f aca="false">직종별!AC4</f>
        <v>0.22924899624894</v>
      </c>
    </row>
    <row r="5" customFormat="false" ht="15" hidden="false" customHeight="false" outlineLevel="0" collapsed="false">
      <c r="A5" s="23" t="str">
        <f aca="false">직종별!A5</f>
        <v>나비 행정</v>
      </c>
      <c r="B5" s="24" t="n">
        <f aca="false">직종별!I5</f>
        <v>3200</v>
      </c>
      <c r="C5" s="23" t="n">
        <f aca="false">직종별!L5/100000000</f>
        <v>3.168</v>
      </c>
      <c r="D5" s="23" t="n">
        <f aca="false">직종별!O5/100000000</f>
        <v>5.78</v>
      </c>
      <c r="E5" s="23" t="n">
        <f aca="false">직종별!K5/100000000</f>
        <v>0.578</v>
      </c>
      <c r="F5" s="23" t="n">
        <f aca="false">직종별!V5/100000000</f>
        <v>5.93237</v>
      </c>
      <c r="G5" s="23" t="n">
        <f aca="false">직종별!W5/100000000</f>
        <v>1.84496707</v>
      </c>
      <c r="H5" s="23" t="n">
        <f aca="false">직종별!X5/100000000</f>
        <v>3.68993414</v>
      </c>
      <c r="I5" s="23" t="n">
        <f aca="false">직종별!Y5/100000000</f>
        <v>2.24243586</v>
      </c>
      <c r="J5" s="23" t="n">
        <f aca="false">직종별!Z5/100000000</f>
        <v>4.08740293</v>
      </c>
      <c r="K5" s="23" t="n">
        <f aca="false">직종별!AA5/100000000</f>
        <v>7.672</v>
      </c>
      <c r="L5" s="23" t="n">
        <f aca="false">직종별!AC5</f>
        <v>0.156411951616915</v>
      </c>
    </row>
    <row r="6" customFormat="false" ht="15" hidden="false" customHeight="false" outlineLevel="0" collapsed="false">
      <c r="A6" s="23" t="str">
        <f aca="false">직종별!A6</f>
        <v>나비 변호사</v>
      </c>
      <c r="B6" s="24" t="n">
        <f aca="false">직종별!I6</f>
        <v>9600</v>
      </c>
      <c r="C6" s="23" t="n">
        <f aca="false">직종별!L6/100000000</f>
        <v>9.504</v>
      </c>
      <c r="D6" s="23" t="n">
        <f aca="false">직종별!O6/100000000</f>
        <v>17.323</v>
      </c>
      <c r="E6" s="23" t="n">
        <f aca="false">직종별!K6/100000000</f>
        <v>1.7323</v>
      </c>
      <c r="F6" s="23" t="n">
        <f aca="false">직종별!V6/100000000</f>
        <v>18.0596495</v>
      </c>
      <c r="G6" s="23" t="n">
        <f aca="false">직종별!W6/100000000</f>
        <v>5.6165509945</v>
      </c>
      <c r="H6" s="23" t="n">
        <f aca="false">직종별!X6/100000000</f>
        <v>11.233101989</v>
      </c>
      <c r="I6" s="23" t="n">
        <f aca="false">직종별!Y6/100000000</f>
        <v>6.826547511</v>
      </c>
      <c r="J6" s="23" t="n">
        <f aca="false">직종별!Z6/100000000</f>
        <v>12.4430985055</v>
      </c>
      <c r="K6" s="23" t="n">
        <f aca="false">직종별!AA6/100000000</f>
        <v>23.8207</v>
      </c>
      <c r="L6" s="23" t="n">
        <f aca="false">직종별!AC6</f>
        <v>0.467053362502601</v>
      </c>
    </row>
    <row r="7" customFormat="false" ht="15" hidden="false" customHeight="false" outlineLevel="0" collapsed="false">
      <c r="A7" s="23" t="str">
        <f aca="false">직종별!A7</f>
        <v>나비 회계</v>
      </c>
      <c r="B7" s="24" t="n">
        <f aca="false">직종별!I7</f>
        <v>5400</v>
      </c>
      <c r="C7" s="23" t="n">
        <f aca="false">직종별!L7/100000000</f>
        <v>5.346</v>
      </c>
      <c r="D7" s="23" t="n">
        <f aca="false">직종별!O7/100000000</f>
        <v>9.74477777777778</v>
      </c>
      <c r="E7" s="23" t="n">
        <f aca="false">직종별!K7/100000000</f>
        <v>0.974477777777778</v>
      </c>
      <c r="F7" s="23" t="n">
        <f aca="false">직종별!V7/100000000</f>
        <v>10.0978355</v>
      </c>
      <c r="G7" s="23" t="n">
        <f aca="false">직종별!W7/100000000</f>
        <v>3.1404268405</v>
      </c>
      <c r="H7" s="23" t="n">
        <f aca="false">직종별!X7/100000000</f>
        <v>6.280853681</v>
      </c>
      <c r="I7" s="23" t="n">
        <f aca="false">직종별!Y7/100000000</f>
        <v>3.816981819</v>
      </c>
      <c r="J7" s="23" t="n">
        <f aca="false">직종별!Z7/100000000</f>
        <v>6.9574086595</v>
      </c>
      <c r="K7" s="23" t="n">
        <f aca="false">직종별!AA7/100000000</f>
        <v>13.2203</v>
      </c>
      <c r="L7" s="23" t="n">
        <f aca="false">직종별!AC7</f>
        <v>0.26189908177716</v>
      </c>
    </row>
    <row r="8" customFormat="false" ht="15" hidden="false" customHeight="false" outlineLevel="0" collapsed="false">
      <c r="A8" s="23" t="str">
        <f aca="false">직종별!A8</f>
        <v>나비 세무</v>
      </c>
      <c r="B8" s="24" t="n">
        <f aca="false">직종별!I8</f>
        <v>5100</v>
      </c>
      <c r="C8" s="23" t="n">
        <f aca="false">직종별!L8/100000000</f>
        <v>5.049</v>
      </c>
      <c r="D8" s="23" t="n">
        <f aca="false">직종별!O8/100000000</f>
        <v>9.20266666666667</v>
      </c>
      <c r="E8" s="23" t="n">
        <f aca="false">직종별!K8/100000000</f>
        <v>0.920266666666667</v>
      </c>
      <c r="F8" s="23" t="n">
        <f aca="false">직종별!V8/100000000</f>
        <v>9.528284</v>
      </c>
      <c r="G8" s="23" t="n">
        <f aca="false">직종별!W8/100000000</f>
        <v>2.963296324</v>
      </c>
      <c r="H8" s="23" t="n">
        <f aca="false">직종별!X8/100000000</f>
        <v>5.926592648</v>
      </c>
      <c r="I8" s="23" t="n">
        <f aca="false">직종별!Y8/100000000</f>
        <v>3.601691352</v>
      </c>
      <c r="J8" s="23" t="n">
        <f aca="false">직종별!Z8/100000000</f>
        <v>6.564987676</v>
      </c>
      <c r="K8" s="23" t="n">
        <f aca="false">직종별!AA8/100000000</f>
        <v>12.4624</v>
      </c>
      <c r="L8" s="23" t="n">
        <f aca="false">직종별!AC8</f>
        <v>0.24734913278954</v>
      </c>
    </row>
    <row r="9" customFormat="false" ht="15" hidden="false" customHeight="false" outlineLevel="0" collapsed="false">
      <c r="A9" s="23" t="str">
        <f aca="false">직종별!A9</f>
        <v>나비 변리</v>
      </c>
      <c r="B9" s="24" t="n">
        <f aca="false">직종별!I9</f>
        <v>1440</v>
      </c>
      <c r="C9" s="23" t="n">
        <f aca="false">직종별!L9/100000000</f>
        <v>1.4256</v>
      </c>
      <c r="D9" s="23" t="n">
        <f aca="false">직종별!O9/100000000</f>
        <v>2.59722222222222</v>
      </c>
      <c r="E9" s="23" t="n">
        <f aca="false">직종별!K9/100000000</f>
        <v>0.259722222222222</v>
      </c>
      <c r="F9" s="23" t="n">
        <f aca="false">직종별!V9/100000000</f>
        <v>2.5884875</v>
      </c>
      <c r="G9" s="23" t="n">
        <f aca="false">직종별!W9/100000000</f>
        <v>0.8050196125</v>
      </c>
      <c r="H9" s="23" t="n">
        <f aca="false">직종별!X9/100000000</f>
        <v>1.610039225</v>
      </c>
      <c r="I9" s="23" t="n">
        <f aca="false">직종별!Y9/100000000</f>
        <v>0.978448275</v>
      </c>
      <c r="J9" s="23" t="n">
        <f aca="false">직종별!Z9/100000000</f>
        <v>1.7834678875</v>
      </c>
      <c r="K9" s="23" t="n">
        <f aca="false">직종별!AA9/100000000</f>
        <v>3.2235</v>
      </c>
      <c r="L9" s="23" t="n">
        <f aca="false">직종별!AC9</f>
        <v>0.0698397551405759</v>
      </c>
    </row>
    <row r="10" customFormat="false" ht="15" hidden="false" customHeight="false" outlineLevel="0" collapsed="false">
      <c r="A10" s="23" t="str">
        <f aca="false">직종별!A10</f>
        <v>나비 감정</v>
      </c>
      <c r="B10" s="24" t="n">
        <f aca="false">직종별!I10</f>
        <v>1500</v>
      </c>
      <c r="C10" s="23" t="n">
        <f aca="false">직종별!L10/100000000</f>
        <v>1.485</v>
      </c>
      <c r="D10" s="23" t="n">
        <f aca="false">직종별!O10/100000000</f>
        <v>2.70488888888889</v>
      </c>
      <c r="E10" s="23" t="n">
        <f aca="false">직종별!K10/100000000</f>
        <v>0.270488888888889</v>
      </c>
      <c r="F10" s="23" t="n">
        <f aca="false">직종별!V10/100000000</f>
        <v>2.701604</v>
      </c>
      <c r="G10" s="23" t="n">
        <f aca="false">직종별!W10/100000000</f>
        <v>0.840198844</v>
      </c>
      <c r="H10" s="23" t="n">
        <f aca="false">직종별!X10/100000000</f>
        <v>1.680397688</v>
      </c>
      <c r="I10" s="23" t="n">
        <f aca="false">직종별!Y10/100000000</f>
        <v>1.021206312</v>
      </c>
      <c r="J10" s="23" t="n">
        <f aca="false">직종별!Z10/100000000</f>
        <v>1.861405156</v>
      </c>
      <c r="K10" s="23" t="n">
        <f aca="false">직종별!AA10/100000000</f>
        <v>3.3744</v>
      </c>
      <c r="L10" s="23" t="n">
        <f aca="false">직종별!AC10</f>
        <v>0.0727497449380999</v>
      </c>
    </row>
    <row r="11" customFormat="false" ht="15" hidden="false" customHeight="false" outlineLevel="0" collapsed="false">
      <c r="A11" s="23" t="str">
        <f aca="false">직종별!A11</f>
        <v>나비 의사</v>
      </c>
      <c r="B11" s="24" t="n">
        <f aca="false">직종별!I11</f>
        <v>35400</v>
      </c>
      <c r="C11" s="23" t="n">
        <f aca="false">직종별!L11/100000000</f>
        <v>35.046</v>
      </c>
      <c r="D11" s="23" t="n">
        <f aca="false">직종별!O11/100000000</f>
        <v>63.8708888888889</v>
      </c>
      <c r="E11" s="23" t="n">
        <f aca="false">직종별!K11/100000000</f>
        <v>6.38708888888889</v>
      </c>
      <c r="F11" s="23" t="n">
        <f aca="false">직종별!V11/100000000</f>
        <v>66.963683</v>
      </c>
      <c r="G11" s="23" t="n">
        <f aca="false">직종별!W11/100000000</f>
        <v>20.825705413</v>
      </c>
      <c r="H11" s="23" t="n">
        <f aca="false">직종별!X11/100000000</f>
        <v>41.651410826</v>
      </c>
      <c r="I11" s="23" t="n">
        <f aca="false">직종별!Y11/100000000</f>
        <v>25.312272174</v>
      </c>
      <c r="J11" s="23" t="n">
        <f aca="false">직종별!Z11/100000000</f>
        <v>46.137977587</v>
      </c>
      <c r="K11" s="23" t="n">
        <f aca="false">직종별!AA11/100000000</f>
        <v>88.9338</v>
      </c>
      <c r="L11" s="23" t="n">
        <f aca="false">직종별!AC11</f>
        <v>1.71689398053916</v>
      </c>
    </row>
    <row r="12" customFormat="false" ht="15" hidden="false" customHeight="false" outlineLevel="0" collapsed="false">
      <c r="A12" s="23" t="str">
        <f aca="false">직종별!A12</f>
        <v>나비 중개</v>
      </c>
      <c r="B12" s="24" t="n">
        <f aca="false">직종별!I12</f>
        <v>32880</v>
      </c>
      <c r="C12" s="23" t="n">
        <f aca="false">직종별!L12/100000000</f>
        <v>32.5512</v>
      </c>
      <c r="D12" s="23" t="n">
        <f aca="false">직종별!O12/100000000</f>
        <v>59.3262222222222</v>
      </c>
      <c r="E12" s="23" t="n">
        <f aca="false">직종별!K12/100000000</f>
        <v>5.93262222222222</v>
      </c>
      <c r="F12" s="23" t="n">
        <f aca="false">직종별!V12/100000000</f>
        <v>62.188976</v>
      </c>
      <c r="G12" s="23" t="n">
        <f aca="false">직종별!W12/100000000</f>
        <v>19.340771536</v>
      </c>
      <c r="H12" s="23" t="n">
        <f aca="false">직종별!X12/100000000</f>
        <v>38.681543072</v>
      </c>
      <c r="I12" s="23" t="n">
        <f aca="false">직종별!Y12/100000000</f>
        <v>23.507432928</v>
      </c>
      <c r="J12" s="23" t="n">
        <f aca="false">직종별!Z12/100000000</f>
        <v>42.848204464</v>
      </c>
      <c r="K12" s="23" t="n">
        <f aca="false">직종별!AA12/100000000</f>
        <v>82.5756</v>
      </c>
      <c r="L12" s="23" t="n">
        <f aca="false">직종별!AC12</f>
        <v>1.59490720822695</v>
      </c>
    </row>
    <row r="13" customFormat="false" ht="15" hidden="false" customHeight="false" outlineLevel="0" collapsed="false">
      <c r="A13" s="23" t="str">
        <f aca="false">직종별!A13</f>
        <v>나비 약사</v>
      </c>
      <c r="B13" s="24" t="n">
        <f aca="false">직종별!I13</f>
        <v>12300</v>
      </c>
      <c r="C13" s="23" t="n">
        <f aca="false">직종별!L13/100000000</f>
        <v>12.177</v>
      </c>
      <c r="D13" s="23" t="n">
        <f aca="false">직종별!O13/100000000</f>
        <v>22.1906666666667</v>
      </c>
      <c r="E13" s="23" t="n">
        <f aca="false">직종별!K13/100000000</f>
        <v>2.21906666666667</v>
      </c>
      <c r="F13" s="23" t="n">
        <f aca="false">직종별!V13/100000000</f>
        <v>23.173706</v>
      </c>
      <c r="G13" s="23" t="n">
        <f aca="false">직종별!W13/100000000</f>
        <v>7.207022566</v>
      </c>
      <c r="H13" s="23" t="n">
        <f aca="false">직종별!X13/100000000</f>
        <v>14.414045132</v>
      </c>
      <c r="I13" s="23" t="n">
        <f aca="false">직종별!Y13/100000000</f>
        <v>8.759660868</v>
      </c>
      <c r="J13" s="23" t="n">
        <f aca="false">직종별!Z13/100000000</f>
        <v>15.966683434</v>
      </c>
      <c r="K13" s="23" t="n">
        <f aca="false">직종별!AA13/100000000</f>
        <v>30.6316</v>
      </c>
      <c r="L13" s="23" t="n">
        <f aca="false">직종별!AC13</f>
        <v>0.596547908492419</v>
      </c>
    </row>
    <row r="14" customFormat="false" ht="15" hidden="false" customHeight="false" outlineLevel="0" collapsed="false">
      <c r="A14" s="23" t="str">
        <f aca="false">직종별!A14</f>
        <v>나비 한의</v>
      </c>
      <c r="B14" s="24" t="n">
        <f aca="false">직종별!I14</f>
        <v>6600</v>
      </c>
      <c r="C14" s="23" t="n">
        <f aca="false">직종별!L14/100000000</f>
        <v>6.534</v>
      </c>
      <c r="D14" s="23" t="n">
        <f aca="false">직종별!O14/100000000</f>
        <v>11.9075555555556</v>
      </c>
      <c r="E14" s="23" t="n">
        <f aca="false">직종별!K14/100000000</f>
        <v>1.19075555555556</v>
      </c>
      <c r="F14" s="23" t="n">
        <f aca="false">직종별!V14/100000000</f>
        <v>12.370088</v>
      </c>
      <c r="G14" s="23" t="n">
        <f aca="false">직종별!W14/100000000</f>
        <v>3.847097368</v>
      </c>
      <c r="H14" s="23" t="n">
        <f aca="false">직종별!X14/100000000</f>
        <v>7.694194736</v>
      </c>
      <c r="I14" s="23" t="n">
        <f aca="false">직종별!Y14/100000000</f>
        <v>4.675893264</v>
      </c>
      <c r="J14" s="23" t="n">
        <f aca="false">직종별!Z14/100000000</f>
        <v>8.522990632</v>
      </c>
      <c r="K14" s="23" t="n">
        <f aca="false">직종별!AA14/100000000</f>
        <v>16.2468</v>
      </c>
      <c r="L14" s="23" t="n">
        <f aca="false">직종별!AC14</f>
        <v>0.32009887772764</v>
      </c>
    </row>
    <row r="15" customFormat="false" ht="15" hidden="false" customHeight="false" outlineLevel="0" collapsed="false">
      <c r="A15" s="25" t="str">
        <f aca="false">직종별!A15</f>
        <v>합계</v>
      </c>
      <c r="B15" s="26" t="n">
        <f aca="false">직종별!I15</f>
        <v>118120</v>
      </c>
      <c r="C15" s="25" t="n">
        <f aca="false">직종별!L15/100000000</f>
        <v>116.9388</v>
      </c>
      <c r="D15" s="25" t="n">
        <f aca="false">직종별!O15/100000000</f>
        <v>213.129</v>
      </c>
      <c r="E15" s="25" t="n">
        <f aca="false">직종별!K15/100000000</f>
        <v>21.3129</v>
      </c>
      <c r="F15" s="25" t="n">
        <f aca="false">직종별!V15/100000000</f>
        <v>222.3748885</v>
      </c>
      <c r="G15" s="25" t="n">
        <f aca="false">직종별!W15/100000000</f>
        <v>69.1585903235</v>
      </c>
      <c r="H15" s="25" t="n">
        <f aca="false">직종별!X15/100000000</f>
        <v>138.317180647</v>
      </c>
      <c r="I15" s="25" t="n">
        <f aca="false">직종별!Y15/100000000</f>
        <v>84.057707853</v>
      </c>
      <c r="J15" s="25" t="n">
        <f aca="false">직종별!Z15/100000000</f>
        <v>153.2162981765</v>
      </c>
      <c r="K15" s="25" t="n">
        <f aca="false">직종별!AA15/100000000</f>
        <v>293.6141</v>
      </c>
      <c r="L15" s="25" t="n">
        <f aca="false">직종별!AC15</f>
        <v>5.733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1" min="2" style="0" width="15"/>
  </cols>
  <sheetData>
    <row r="1" customFormat="false" ht="19.4" hidden="false" customHeight="false" outlineLevel="0" collapsed="false">
      <c r="A1" s="5" t="s">
        <v>67</v>
      </c>
    </row>
    <row r="3" customFormat="false" ht="43.5" hidden="false" customHeight="true" outlineLevel="0" collapsed="false">
      <c r="A3" s="27" t="s">
        <v>55</v>
      </c>
      <c r="B3" s="27" t="s">
        <v>68</v>
      </c>
      <c r="C3" s="28" t="s">
        <v>69</v>
      </c>
      <c r="D3" s="28" t="s">
        <v>70</v>
      </c>
      <c r="E3" s="28" t="s">
        <v>71</v>
      </c>
      <c r="F3" s="28" t="s">
        <v>72</v>
      </c>
      <c r="G3" s="28" t="s">
        <v>73</v>
      </c>
      <c r="H3" s="27" t="s">
        <v>74</v>
      </c>
      <c r="I3" s="27" t="s">
        <v>56</v>
      </c>
      <c r="J3" s="28" t="s">
        <v>75</v>
      </c>
      <c r="K3" s="27" t="s">
        <v>76</v>
      </c>
      <c r="L3" s="27" t="s">
        <v>77</v>
      </c>
      <c r="M3" s="27" t="s">
        <v>78</v>
      </c>
      <c r="N3" s="27" t="s">
        <v>79</v>
      </c>
      <c r="O3" s="27" t="s">
        <v>80</v>
      </c>
      <c r="P3" s="28" t="s">
        <v>81</v>
      </c>
      <c r="Q3" s="27" t="s">
        <v>82</v>
      </c>
      <c r="R3" s="27" t="s">
        <v>83</v>
      </c>
      <c r="S3" s="27" t="s">
        <v>84</v>
      </c>
      <c r="T3" s="27" t="s">
        <v>85</v>
      </c>
      <c r="U3" s="27" t="s">
        <v>86</v>
      </c>
      <c r="V3" s="27" t="s">
        <v>87</v>
      </c>
      <c r="W3" s="27" t="s">
        <v>88</v>
      </c>
      <c r="X3" s="27" t="s">
        <v>89</v>
      </c>
      <c r="Y3" s="27" t="s">
        <v>90</v>
      </c>
      <c r="Z3" s="27" t="s">
        <v>91</v>
      </c>
      <c r="AA3" s="28" t="s">
        <v>92</v>
      </c>
      <c r="AB3" s="27" t="s">
        <v>93</v>
      </c>
      <c r="AC3" s="27" t="s">
        <v>94</v>
      </c>
      <c r="AD3" s="28" t="s">
        <v>95</v>
      </c>
      <c r="AE3" s="28" t="s">
        <v>96</v>
      </c>
    </row>
    <row r="4" customFormat="false" ht="15" hidden="false" customHeight="false" outlineLevel="0" collapsed="false">
      <c r="A4" s="7" t="s">
        <v>97</v>
      </c>
      <c r="B4" s="8" t="n">
        <v>15756</v>
      </c>
      <c r="C4" s="8" t="n">
        <v>500</v>
      </c>
      <c r="D4" s="8" t="n">
        <v>1200</v>
      </c>
      <c r="E4" s="8" t="n">
        <v>2200</v>
      </c>
      <c r="F4" s="8" t="n">
        <v>3400</v>
      </c>
      <c r="G4" s="8" t="n">
        <v>4700</v>
      </c>
      <c r="H4" s="29" t="n">
        <f aca="false">입력!$B$20</f>
        <v>1</v>
      </c>
      <c r="I4" s="24" t="n">
        <f aca="false">G4*H4</f>
        <v>4700</v>
      </c>
      <c r="J4" s="24" t="n">
        <f aca="false">(SUM(C4:G4)+G4*7)*H4</f>
        <v>44900</v>
      </c>
      <c r="K4" s="24" t="n">
        <f aca="false">J4*입력!$B$24</f>
        <v>84811111.1111111</v>
      </c>
      <c r="L4" s="24" t="n">
        <f aca="false">I4*입력!$B$4</f>
        <v>465300000</v>
      </c>
      <c r="M4" s="24" t="n">
        <f aca="false">L4-L4/(1+입력!$B$5)</f>
        <v>42300000.0000001</v>
      </c>
      <c r="N4" s="24" t="n">
        <f aca="false">L4-M4</f>
        <v>423000000</v>
      </c>
      <c r="O4" s="24" t="n">
        <f aca="false">K4*입력!$B$8</f>
        <v>848111111.111111</v>
      </c>
      <c r="P4" s="24" t="n">
        <f aca="false">H4*입력!$B$26*(D4-C4+2*(E4-D4)+3*(F4-E4)+4*(G4-F4))*1</f>
        <v>86250000</v>
      </c>
      <c r="Q4" s="24" t="n">
        <f aca="false">N4-P4</f>
        <v>336750000</v>
      </c>
      <c r="R4" s="24" t="n">
        <f aca="false">I4*입력!$B$10</f>
        <v>0</v>
      </c>
      <c r="S4" s="24" t="n">
        <f aca="false">입력!$B$12+입력!$B$11*IF(C4*H4/B4&gt;=입력!$B$21,11,IF(D4*H4/B4&gt;=입력!$B$21,10,IF(E4*H4/B4&gt;=입력!$B$21,9,IF(F4*H4/B4&gt;=입력!$B$21,8,IF(G4*H4/B4&gt;=입력!$B$21,7,0)))))/12</f>
        <v>42000000</v>
      </c>
      <c r="T4" s="24" t="n">
        <f aca="false">Q4+O4-K4-R4-S4</f>
        <v>1058050000</v>
      </c>
      <c r="U4" s="24" t="n">
        <f aca="false">IF(T4&lt;=0,0,MIN(T4,입력!$B$18)*입력!$B$16+MAX(T4-입력!$B$18,0)*입력!$B$17)</f>
        <v>181029500</v>
      </c>
      <c r="V4" s="24" t="n">
        <f aca="false">T4-U4</f>
        <v>877020500</v>
      </c>
      <c r="W4" s="24" t="n">
        <f aca="false">MAX(V4,0)*입력!$B$14</f>
        <v>272753375.5</v>
      </c>
      <c r="X4" s="24" t="n">
        <f aca="false">MAX(V4,0)*입력!$B$15</f>
        <v>545506751</v>
      </c>
      <c r="Y4" s="24" t="n">
        <f aca="false">V4-X4</f>
        <v>331513749</v>
      </c>
      <c r="Z4" s="24" t="n">
        <f aca="false">V4-W4</f>
        <v>604267124.5</v>
      </c>
      <c r="AA4" s="24" t="n">
        <f aca="false">N4+O4-K4-R4-S4+입력!$B$13</f>
        <v>1145300000</v>
      </c>
      <c r="AB4" s="13" t="n">
        <f aca="false">B4/$B$15</f>
        <v>0.0399876149047515</v>
      </c>
      <c r="AC4" s="23" t="n">
        <f aca="false">AB4*입력!$B$19</f>
        <v>0.22924899624894</v>
      </c>
      <c r="AD4" s="24" t="n">
        <f aca="false">(G4*입력!$B$25-입력!$B$26*(D4-C4+2*(E4-D4)+3*(F4-E4)+4*(G4-F4)))-(SUM(C4:G4)+G4*7)*입력!$B$24</f>
        <v>251938888.888889</v>
      </c>
      <c r="AE4" s="24" t="n">
        <f aca="false">(SUM(C4:G4)+G4*7)*입력!$B$24</f>
        <v>84811111.1111111</v>
      </c>
    </row>
    <row r="5" customFormat="false" ht="15" hidden="false" customHeight="false" outlineLevel="0" collapsed="false">
      <c r="A5" s="7" t="s">
        <v>98</v>
      </c>
      <c r="B5" s="8" t="n">
        <v>10750</v>
      </c>
      <c r="C5" s="8" t="n">
        <v>350</v>
      </c>
      <c r="D5" s="8" t="n">
        <v>850</v>
      </c>
      <c r="E5" s="8" t="n">
        <v>1500</v>
      </c>
      <c r="F5" s="8" t="n">
        <v>2300</v>
      </c>
      <c r="G5" s="8" t="n">
        <v>3200</v>
      </c>
      <c r="H5" s="29" t="n">
        <f aca="false">입력!$B$20</f>
        <v>1</v>
      </c>
      <c r="I5" s="24" t="n">
        <f aca="false">G5*H5</f>
        <v>3200</v>
      </c>
      <c r="J5" s="24" t="n">
        <f aca="false">(SUM(C5:G5)+G5*7)*H5</f>
        <v>30600</v>
      </c>
      <c r="K5" s="24" t="n">
        <f aca="false">J5*입력!$B$24</f>
        <v>57800000</v>
      </c>
      <c r="L5" s="24" t="n">
        <f aca="false">I5*입력!$B$4</f>
        <v>316800000</v>
      </c>
      <c r="M5" s="24" t="n">
        <f aca="false">L5-L5/(1+입력!$B$5)</f>
        <v>28800000</v>
      </c>
      <c r="N5" s="24" t="n">
        <f aca="false">L5-M5</f>
        <v>288000000</v>
      </c>
      <c r="O5" s="24" t="n">
        <f aca="false">K5*입력!$B$8</f>
        <v>578000000</v>
      </c>
      <c r="P5" s="24" t="n">
        <f aca="false">H5*입력!$B$26*(D5-C5+2*(E5-D5)+3*(F5-E5)+4*(G5-F5))*1</f>
        <v>58500000</v>
      </c>
      <c r="Q5" s="24" t="n">
        <f aca="false">N5-P5</f>
        <v>229500000</v>
      </c>
      <c r="R5" s="24" t="n">
        <f aca="false">I5*입력!$B$10</f>
        <v>0</v>
      </c>
      <c r="S5" s="24" t="n">
        <f aca="false">입력!$B$12+입력!$B$11*IF(C5*H5/B5&gt;=입력!$B$21,11,IF(D5*H5/B5&gt;=입력!$B$21,10,IF(E5*H5/B5&gt;=입력!$B$21,9,IF(F5*H5/B5&gt;=입력!$B$21,8,IF(G5*H5/B5&gt;=입력!$B$21,7,0)))))/12</f>
        <v>42000000</v>
      </c>
      <c r="T5" s="24" t="n">
        <f aca="false">Q5+O5-K5-R5-S5</f>
        <v>707700000</v>
      </c>
      <c r="U5" s="24" t="n">
        <f aca="false">IF(T5&lt;=0,0,MIN(T5,입력!$B$18)*입력!$B$16+MAX(T5-입력!$B$18,0)*입력!$B$17)</f>
        <v>114463000</v>
      </c>
      <c r="V5" s="24" t="n">
        <f aca="false">T5-U5</f>
        <v>593237000</v>
      </c>
      <c r="W5" s="24" t="n">
        <f aca="false">MAX(V5,0)*입력!$B$14</f>
        <v>184496707</v>
      </c>
      <c r="X5" s="24" t="n">
        <f aca="false">MAX(V5,0)*입력!$B$15</f>
        <v>368993414</v>
      </c>
      <c r="Y5" s="24" t="n">
        <f aca="false">V5-X5</f>
        <v>224243586</v>
      </c>
      <c r="Z5" s="24" t="n">
        <f aca="false">V5-W5</f>
        <v>408740293</v>
      </c>
      <c r="AA5" s="24" t="n">
        <f aca="false">N5+O5-K5-R5-S5+입력!$B$13</f>
        <v>767200000</v>
      </c>
      <c r="AB5" s="13" t="n">
        <f aca="false">B5/$B$15</f>
        <v>0.0272827405576338</v>
      </c>
      <c r="AC5" s="23" t="n">
        <f aca="false">AB5*입력!$B$19</f>
        <v>0.156411951616915</v>
      </c>
      <c r="AD5" s="24" t="n">
        <f aca="false">(G5*입력!$B$25-입력!$B$26*(D5-C5+2*(E5-D5)+3*(F5-E5)+4*(G5-F5)))-(SUM(C5:G5)+G5*7)*입력!$B$24</f>
        <v>171700000</v>
      </c>
      <c r="AE5" s="24" t="n">
        <f aca="false">(SUM(C5:G5)+G5*7)*입력!$B$24</f>
        <v>57800000</v>
      </c>
    </row>
    <row r="6" customFormat="false" ht="15" hidden="false" customHeight="false" outlineLevel="0" collapsed="false">
      <c r="A6" s="7" t="s">
        <v>99</v>
      </c>
      <c r="B6" s="8" t="n">
        <v>32100</v>
      </c>
      <c r="C6" s="8" t="n">
        <v>1020</v>
      </c>
      <c r="D6" s="8" t="n">
        <v>2450</v>
      </c>
      <c r="E6" s="8" t="n">
        <v>4490</v>
      </c>
      <c r="F6" s="8" t="n">
        <v>6950</v>
      </c>
      <c r="G6" s="8" t="n">
        <v>9600</v>
      </c>
      <c r="H6" s="29" t="n">
        <f aca="false">입력!$B$20</f>
        <v>1</v>
      </c>
      <c r="I6" s="24" t="n">
        <f aca="false">G6*H6</f>
        <v>9600</v>
      </c>
      <c r="J6" s="24" t="n">
        <f aca="false">(SUM(C6:G6)+G6*7)*H6</f>
        <v>91710</v>
      </c>
      <c r="K6" s="24" t="n">
        <f aca="false">J6*입력!$B$24</f>
        <v>173230000</v>
      </c>
      <c r="L6" s="24" t="n">
        <f aca="false">I6*입력!$B$4</f>
        <v>950400000</v>
      </c>
      <c r="M6" s="24" t="n">
        <f aca="false">L6-L6/(1+입력!$B$5)</f>
        <v>86400000.0000001</v>
      </c>
      <c r="N6" s="24" t="n">
        <f aca="false">L6-M6</f>
        <v>864000000</v>
      </c>
      <c r="O6" s="24" t="n">
        <f aca="false">K6*입력!$B$8</f>
        <v>1732300000</v>
      </c>
      <c r="P6" s="24" t="n">
        <f aca="false">H6*입력!$B$26*(D6-C6+2*(E6-D6)+3*(F6-E6)+4*(G6-F6))*1</f>
        <v>176175000</v>
      </c>
      <c r="Q6" s="24" t="n">
        <f aca="false">N6-P6</f>
        <v>687825000</v>
      </c>
      <c r="R6" s="24" t="n">
        <f aca="false">I6*입력!$B$10</f>
        <v>0</v>
      </c>
      <c r="S6" s="24" t="n">
        <f aca="false">입력!$B$12+입력!$B$11*IF(C6*H6/B6&gt;=입력!$B$21,11,IF(D6*H6/B6&gt;=입력!$B$21,10,IF(E6*H6/B6&gt;=입력!$B$21,9,IF(F6*H6/B6&gt;=입력!$B$21,8,IF(G6*H6/B6&gt;=입력!$B$21,7,0)))))/12</f>
        <v>42000000</v>
      </c>
      <c r="T6" s="24" t="n">
        <f aca="false">Q6+O6-K6-R6-S6</f>
        <v>2204895000</v>
      </c>
      <c r="U6" s="24" t="n">
        <f aca="false">IF(T6&lt;=0,0,MIN(T6,입력!$B$18)*입력!$B$16+MAX(T6-입력!$B$18,0)*입력!$B$17)</f>
        <v>398930050</v>
      </c>
      <c r="V6" s="24" t="n">
        <f aca="false">T6-U6</f>
        <v>1805964950</v>
      </c>
      <c r="W6" s="24" t="n">
        <f aca="false">MAX(V6,0)*입력!$B$14</f>
        <v>561655099.45</v>
      </c>
      <c r="X6" s="24" t="n">
        <f aca="false">MAX(V6,0)*입력!$B$15</f>
        <v>1123310198.9</v>
      </c>
      <c r="Y6" s="24" t="n">
        <f aca="false">V6-X6</f>
        <v>682654751.1</v>
      </c>
      <c r="Z6" s="24" t="n">
        <f aca="false">V6-W6</f>
        <v>1244309850.55</v>
      </c>
      <c r="AA6" s="24" t="n">
        <f aca="false">N6+O6-K6-R6-S6+입력!$B$13</f>
        <v>2382070000</v>
      </c>
      <c r="AB6" s="13" t="n">
        <f aca="false">B6/$B$15</f>
        <v>0.0814675322697717</v>
      </c>
      <c r="AC6" s="23" t="n">
        <f aca="false">AB6*입력!$B$19</f>
        <v>0.467053362502601</v>
      </c>
      <c r="AD6" s="24" t="n">
        <f aca="false">(G6*입력!$B$25-입력!$B$26*(D6-C6+2*(E6-D6)+3*(F6-E6)+4*(G6-F6)))-(SUM(C6:G6)+G6*7)*입력!$B$24</f>
        <v>514595000</v>
      </c>
      <c r="AE6" s="24" t="n">
        <f aca="false">(SUM(C6:G6)+G6*7)*입력!$B$24</f>
        <v>173230000</v>
      </c>
    </row>
    <row r="7" customFormat="false" ht="15" hidden="false" customHeight="false" outlineLevel="0" collapsed="false">
      <c r="A7" s="7" t="s">
        <v>100</v>
      </c>
      <c r="B7" s="8" t="n">
        <v>18000</v>
      </c>
      <c r="C7" s="8" t="n">
        <v>570</v>
      </c>
      <c r="D7" s="8" t="n">
        <v>1380</v>
      </c>
      <c r="E7" s="8" t="n">
        <v>2530</v>
      </c>
      <c r="F7" s="8" t="n">
        <v>3910</v>
      </c>
      <c r="G7" s="8" t="n">
        <v>5400</v>
      </c>
      <c r="H7" s="29" t="n">
        <f aca="false">입력!$B$20</f>
        <v>1</v>
      </c>
      <c r="I7" s="24" t="n">
        <f aca="false">G7*H7</f>
        <v>5400</v>
      </c>
      <c r="J7" s="24" t="n">
        <f aca="false">(SUM(C7:G7)+G7*7)*H7</f>
        <v>51590</v>
      </c>
      <c r="K7" s="24" t="n">
        <f aca="false">J7*입력!$B$24</f>
        <v>97447777.7777778</v>
      </c>
      <c r="L7" s="24" t="n">
        <f aca="false">I7*입력!$B$4</f>
        <v>534600000</v>
      </c>
      <c r="M7" s="24" t="n">
        <f aca="false">L7-L7/(1+입력!$B$5)</f>
        <v>48600000.0000001</v>
      </c>
      <c r="N7" s="24" t="n">
        <f aca="false">L7-M7</f>
        <v>486000000</v>
      </c>
      <c r="O7" s="24" t="n">
        <f aca="false">K7*입력!$B$8</f>
        <v>974477777.777778</v>
      </c>
      <c r="P7" s="24" t="n">
        <f aca="false">H7*입력!$B$26*(D7-C7+2*(E7-D7)+3*(F7-E7)+4*(G7-F7))*1</f>
        <v>99075000</v>
      </c>
      <c r="Q7" s="24" t="n">
        <f aca="false">N7-P7</f>
        <v>386925000</v>
      </c>
      <c r="R7" s="24" t="n">
        <f aca="false">I7*입력!$B$10</f>
        <v>0</v>
      </c>
      <c r="S7" s="24" t="n">
        <f aca="false">입력!$B$12+입력!$B$11*IF(C7*H7/B7&gt;=입력!$B$21,11,IF(D7*H7/B7&gt;=입력!$B$21,10,IF(E7*H7/B7&gt;=입력!$B$21,9,IF(F7*H7/B7&gt;=입력!$B$21,8,IF(G7*H7/B7&gt;=입력!$B$21,7,0)))))/12</f>
        <v>42000000</v>
      </c>
      <c r="T7" s="24" t="n">
        <f aca="false">Q7+O7-K7-R7-S7</f>
        <v>1221955000</v>
      </c>
      <c r="U7" s="24" t="n">
        <f aca="false">IF(T7&lt;=0,0,MIN(T7,입력!$B$18)*입력!$B$16+MAX(T7-입력!$B$18,0)*입력!$B$17)</f>
        <v>212171450</v>
      </c>
      <c r="V7" s="24" t="n">
        <f aca="false">T7-U7</f>
        <v>1009783550</v>
      </c>
      <c r="W7" s="24" t="n">
        <f aca="false">MAX(V7,0)*입력!$B$14</f>
        <v>314042684.05</v>
      </c>
      <c r="X7" s="24" t="n">
        <f aca="false">MAX(V7,0)*입력!$B$15</f>
        <v>628085368.1</v>
      </c>
      <c r="Y7" s="24" t="n">
        <f aca="false">V7-X7</f>
        <v>381698181.9</v>
      </c>
      <c r="Z7" s="24" t="n">
        <f aca="false">V7-W7</f>
        <v>695740865.95</v>
      </c>
      <c r="AA7" s="24" t="n">
        <f aca="false">N7+O7-K7-R7-S7+입력!$B$13</f>
        <v>1322030000</v>
      </c>
      <c r="AB7" s="13" t="n">
        <f aca="false">B7/$B$15</f>
        <v>0.0456827283755729</v>
      </c>
      <c r="AC7" s="23" t="n">
        <f aca="false">AB7*입력!$B$19</f>
        <v>0.26189908177716</v>
      </c>
      <c r="AD7" s="24" t="n">
        <f aca="false">(G7*입력!$B$25-입력!$B$26*(D7-C7+2*(E7-D7)+3*(F7-E7)+4*(G7-F7)))-(SUM(C7:G7)+G7*7)*입력!$B$24</f>
        <v>289477222.222222</v>
      </c>
      <c r="AE7" s="24" t="n">
        <f aca="false">(SUM(C7:G7)+G7*7)*입력!$B$24</f>
        <v>97447777.7777778</v>
      </c>
    </row>
    <row r="8" customFormat="false" ht="15" hidden="false" customHeight="false" outlineLevel="0" collapsed="false">
      <c r="A8" s="7" t="s">
        <v>101</v>
      </c>
      <c r="B8" s="8" t="n">
        <v>17000</v>
      </c>
      <c r="C8" s="8" t="n">
        <v>540</v>
      </c>
      <c r="D8" s="8" t="n">
        <v>1300</v>
      </c>
      <c r="E8" s="8" t="n">
        <v>2390</v>
      </c>
      <c r="F8" s="8" t="n">
        <v>3690</v>
      </c>
      <c r="G8" s="8" t="n">
        <v>5100</v>
      </c>
      <c r="H8" s="29" t="n">
        <f aca="false">입력!$B$20</f>
        <v>1</v>
      </c>
      <c r="I8" s="24" t="n">
        <f aca="false">G8*H8</f>
        <v>5100</v>
      </c>
      <c r="J8" s="24" t="n">
        <f aca="false">(SUM(C8:G8)+G8*7)*H8</f>
        <v>48720</v>
      </c>
      <c r="K8" s="24" t="n">
        <f aca="false">J8*입력!$B$24</f>
        <v>92026666.6666667</v>
      </c>
      <c r="L8" s="24" t="n">
        <f aca="false">I8*입력!$B$4</f>
        <v>504900000</v>
      </c>
      <c r="M8" s="24" t="n">
        <f aca="false">L8-L8/(1+입력!$B$5)</f>
        <v>45900000.0000001</v>
      </c>
      <c r="N8" s="24" t="n">
        <f aca="false">L8-M8</f>
        <v>459000000</v>
      </c>
      <c r="O8" s="24" t="n">
        <f aca="false">K8*입력!$B$8</f>
        <v>920266666.666667</v>
      </c>
      <c r="P8" s="24" t="n">
        <f aca="false">H8*입력!$B$26*(D8-C8+2*(E8-D8)+3*(F8-E8)+4*(G8-F8))*1</f>
        <v>93600000</v>
      </c>
      <c r="Q8" s="24" t="n">
        <f aca="false">N8-P8</f>
        <v>365400000</v>
      </c>
      <c r="R8" s="24" t="n">
        <f aca="false">I8*입력!$B$10</f>
        <v>0</v>
      </c>
      <c r="S8" s="24" t="n">
        <f aca="false">입력!$B$12+입력!$B$11*IF(C8*H8/B8&gt;=입력!$B$21,11,IF(D8*H8/B8&gt;=입력!$B$21,10,IF(E8*H8/B8&gt;=입력!$B$21,9,IF(F8*H8/B8&gt;=입력!$B$21,8,IF(G8*H8/B8&gt;=입력!$B$21,7,0)))))/12</f>
        <v>42000000</v>
      </c>
      <c r="T8" s="24" t="n">
        <f aca="false">Q8+O8-K8-R8-S8</f>
        <v>1151640000</v>
      </c>
      <c r="U8" s="24" t="n">
        <f aca="false">IF(T8&lt;=0,0,MIN(T8,입력!$B$18)*입력!$B$16+MAX(T8-입력!$B$18,0)*입력!$B$17)</f>
        <v>198811600</v>
      </c>
      <c r="V8" s="24" t="n">
        <f aca="false">T8-U8</f>
        <v>952828400</v>
      </c>
      <c r="W8" s="24" t="n">
        <f aca="false">MAX(V8,0)*입력!$B$14</f>
        <v>296329632.4</v>
      </c>
      <c r="X8" s="24" t="n">
        <f aca="false">MAX(V8,0)*입력!$B$15</f>
        <v>592659264.8</v>
      </c>
      <c r="Y8" s="24" t="n">
        <f aca="false">V8-X8</f>
        <v>360169135.2</v>
      </c>
      <c r="Z8" s="24" t="n">
        <f aca="false">V8-W8</f>
        <v>656498767.6</v>
      </c>
      <c r="AA8" s="24" t="n">
        <f aca="false">N8+O8-K8-R8-S8+입력!$B$13</f>
        <v>1246240000</v>
      </c>
      <c r="AB8" s="13" t="n">
        <f aca="false">B8/$B$15</f>
        <v>0.0431447990213744</v>
      </c>
      <c r="AC8" s="23" t="n">
        <f aca="false">AB8*입력!$B$19</f>
        <v>0.24734913278954</v>
      </c>
      <c r="AD8" s="24" t="n">
        <f aca="false">(G8*입력!$B$25-입력!$B$26*(D8-C8+2*(E8-D8)+3*(F8-E8)+4*(G8-F8)))-(SUM(C8:G8)+G8*7)*입력!$B$24</f>
        <v>273373333.333333</v>
      </c>
      <c r="AE8" s="24" t="n">
        <f aca="false">(SUM(C8:G8)+G8*7)*입력!$B$24</f>
        <v>92026666.6666667</v>
      </c>
    </row>
    <row r="9" customFormat="false" ht="15" hidden="false" customHeight="false" outlineLevel="0" collapsed="false">
      <c r="A9" s="7" t="s">
        <v>102</v>
      </c>
      <c r="B9" s="8" t="n">
        <v>4800</v>
      </c>
      <c r="C9" s="8" t="n">
        <v>150</v>
      </c>
      <c r="D9" s="8" t="n">
        <v>370</v>
      </c>
      <c r="E9" s="8" t="n">
        <v>670</v>
      </c>
      <c r="F9" s="8" t="n">
        <v>1040</v>
      </c>
      <c r="G9" s="8" t="n">
        <v>1440</v>
      </c>
      <c r="H9" s="29" t="n">
        <f aca="false">입력!$B$20</f>
        <v>1</v>
      </c>
      <c r="I9" s="24" t="n">
        <f aca="false">G9*H9</f>
        <v>1440</v>
      </c>
      <c r="J9" s="24" t="n">
        <f aca="false">(SUM(C9:G9)+G9*7)*H9</f>
        <v>13750</v>
      </c>
      <c r="K9" s="24" t="n">
        <f aca="false">J9*입력!$B$24</f>
        <v>25972222.2222222</v>
      </c>
      <c r="L9" s="24" t="n">
        <f aca="false">I9*입력!$B$4</f>
        <v>142560000</v>
      </c>
      <c r="M9" s="24" t="n">
        <f aca="false">L9-L9/(1+입력!$B$5)</f>
        <v>12960000</v>
      </c>
      <c r="N9" s="24" t="n">
        <f aca="false">L9-M9</f>
        <v>129600000</v>
      </c>
      <c r="O9" s="24" t="n">
        <f aca="false">K9*입력!$B$8</f>
        <v>259722222.222222</v>
      </c>
      <c r="P9" s="24" t="n">
        <f aca="false">H9*입력!$B$26*(D9-C9+2*(E9-D9)+3*(F9-E9)+4*(G9-F9))*1</f>
        <v>26475000</v>
      </c>
      <c r="Q9" s="24" t="n">
        <f aca="false">N9-P9</f>
        <v>103125000</v>
      </c>
      <c r="R9" s="24" t="n">
        <f aca="false">I9*입력!$B$10</f>
        <v>0</v>
      </c>
      <c r="S9" s="24" t="n">
        <f aca="false">입력!$B$12+입력!$B$11*IF(C9*H9/B9&gt;=입력!$B$21,11,IF(D9*H9/B9&gt;=입력!$B$21,10,IF(E9*H9/B9&gt;=입력!$B$21,9,IF(F9*H9/B9&gt;=입력!$B$21,8,IF(G9*H9/B9&gt;=입력!$B$21,7,0)))))/12</f>
        <v>42000000</v>
      </c>
      <c r="T9" s="24" t="n">
        <f aca="false">Q9+O9-K9-R9-S9</f>
        <v>294875000</v>
      </c>
      <c r="U9" s="24" t="n">
        <f aca="false">IF(T9&lt;=0,0,MIN(T9,입력!$B$18)*입력!$B$16+MAX(T9-입력!$B$18,0)*입력!$B$17)</f>
        <v>36026250</v>
      </c>
      <c r="V9" s="24" t="n">
        <f aca="false">T9-U9</f>
        <v>258848750</v>
      </c>
      <c r="W9" s="24" t="n">
        <f aca="false">MAX(V9,0)*입력!$B$14</f>
        <v>80501961.25</v>
      </c>
      <c r="X9" s="24" t="n">
        <f aca="false">MAX(V9,0)*입력!$B$15</f>
        <v>161003922.5</v>
      </c>
      <c r="Y9" s="24" t="n">
        <f aca="false">V9-X9</f>
        <v>97844827.5</v>
      </c>
      <c r="Z9" s="24" t="n">
        <f aca="false">V9-W9</f>
        <v>178346788.75</v>
      </c>
      <c r="AA9" s="24" t="n">
        <f aca="false">N9+O9-K9-R9-S9+입력!$B$13</f>
        <v>322350000</v>
      </c>
      <c r="AB9" s="13" t="n">
        <f aca="false">B9/$B$15</f>
        <v>0.0121820609001528</v>
      </c>
      <c r="AC9" s="23" t="n">
        <f aca="false">AB9*입력!$B$19</f>
        <v>0.0698397551405759</v>
      </c>
      <c r="AD9" s="24" t="n">
        <f aca="false">(G9*입력!$B$25-입력!$B$26*(D9-C9+2*(E9-D9)+3*(F9-E9)+4*(G9-F9)))-(SUM(C9:G9)+G9*7)*입력!$B$24</f>
        <v>77152777.7777778</v>
      </c>
      <c r="AE9" s="24" t="n">
        <f aca="false">(SUM(C9:G9)+G9*7)*입력!$B$24</f>
        <v>25972222.2222222</v>
      </c>
    </row>
    <row r="10" customFormat="false" ht="15" hidden="false" customHeight="false" outlineLevel="0" collapsed="false">
      <c r="A10" s="7" t="s">
        <v>103</v>
      </c>
      <c r="B10" s="8" t="n">
        <v>5000</v>
      </c>
      <c r="C10" s="8" t="n">
        <v>160</v>
      </c>
      <c r="D10" s="8" t="n">
        <v>380</v>
      </c>
      <c r="E10" s="8" t="n">
        <v>700</v>
      </c>
      <c r="F10" s="8" t="n">
        <v>1080</v>
      </c>
      <c r="G10" s="8" t="n">
        <v>1500</v>
      </c>
      <c r="H10" s="29" t="n">
        <f aca="false">입력!$B$20</f>
        <v>1</v>
      </c>
      <c r="I10" s="24" t="n">
        <f aca="false">G10*H10</f>
        <v>1500</v>
      </c>
      <c r="J10" s="24" t="n">
        <f aca="false">(SUM(C10:G10)+G10*7)*H10</f>
        <v>14320</v>
      </c>
      <c r="K10" s="24" t="n">
        <f aca="false">J10*입력!$B$24</f>
        <v>27048888.8888889</v>
      </c>
      <c r="L10" s="24" t="n">
        <f aca="false">I10*입력!$B$4</f>
        <v>148500000</v>
      </c>
      <c r="M10" s="24" t="n">
        <f aca="false">L10-L10/(1+입력!$B$5)</f>
        <v>13500000</v>
      </c>
      <c r="N10" s="24" t="n">
        <f aca="false">L10-M10</f>
        <v>135000000</v>
      </c>
      <c r="O10" s="24" t="n">
        <f aca="false">K10*입력!$B$8</f>
        <v>270488888.888889</v>
      </c>
      <c r="P10" s="24" t="n">
        <f aca="false">H10*입력!$B$26*(D10-C10+2*(E10-D10)+3*(F10-E10)+4*(G10-F10))*1</f>
        <v>27600000</v>
      </c>
      <c r="Q10" s="24" t="n">
        <f aca="false">N10-P10</f>
        <v>107400000</v>
      </c>
      <c r="R10" s="24" t="n">
        <f aca="false">I10*입력!$B$10</f>
        <v>0</v>
      </c>
      <c r="S10" s="24" t="n">
        <f aca="false">입력!$B$12+입력!$B$11*IF(C10*H10/B10&gt;=입력!$B$21,11,IF(D10*H10/B10&gt;=입력!$B$21,10,IF(E10*H10/B10&gt;=입력!$B$21,9,IF(F10*H10/B10&gt;=입력!$B$21,8,IF(G10*H10/B10&gt;=입력!$B$21,7,0)))))/12</f>
        <v>42000000</v>
      </c>
      <c r="T10" s="24" t="n">
        <f aca="false">Q10+O10-K10-R10-S10</f>
        <v>308840000</v>
      </c>
      <c r="U10" s="24" t="n">
        <f aca="false">IF(T10&lt;=0,0,MIN(T10,입력!$B$18)*입력!$B$16+MAX(T10-입력!$B$18,0)*입력!$B$17)</f>
        <v>38679600</v>
      </c>
      <c r="V10" s="24" t="n">
        <f aca="false">T10-U10</f>
        <v>270160400</v>
      </c>
      <c r="W10" s="24" t="n">
        <f aca="false">MAX(V10,0)*입력!$B$14</f>
        <v>84019884.4</v>
      </c>
      <c r="X10" s="24" t="n">
        <f aca="false">MAX(V10,0)*입력!$B$15</f>
        <v>168039768.8</v>
      </c>
      <c r="Y10" s="24" t="n">
        <f aca="false">V10-X10</f>
        <v>102120631.2</v>
      </c>
      <c r="Z10" s="24" t="n">
        <f aca="false">V10-W10</f>
        <v>186140515.6</v>
      </c>
      <c r="AA10" s="24" t="n">
        <f aca="false">N10+O10-K10-R10-S10+입력!$B$13</f>
        <v>337440000</v>
      </c>
      <c r="AB10" s="13" t="n">
        <f aca="false">B10/$B$15</f>
        <v>0.0126896467709925</v>
      </c>
      <c r="AC10" s="23" t="n">
        <f aca="false">AB10*입력!$B$19</f>
        <v>0.0727497449380999</v>
      </c>
      <c r="AD10" s="24" t="n">
        <f aca="false">(G10*입력!$B$25-입력!$B$26*(D10-C10+2*(E10-D10)+3*(F10-E10)+4*(G10-F10)))-(SUM(C10:G10)+G10*7)*입력!$B$24</f>
        <v>80351111.1111111</v>
      </c>
      <c r="AE10" s="24" t="n">
        <f aca="false">(SUM(C10:G10)+G10*7)*입력!$B$24</f>
        <v>27048888.8888889</v>
      </c>
    </row>
    <row r="11" customFormat="false" ht="15" hidden="false" customHeight="false" outlineLevel="0" collapsed="false">
      <c r="A11" s="7" t="s">
        <v>104</v>
      </c>
      <c r="B11" s="8" t="n">
        <v>118000</v>
      </c>
      <c r="C11" s="8" t="n">
        <v>3750</v>
      </c>
      <c r="D11" s="8" t="n">
        <v>9030</v>
      </c>
      <c r="E11" s="8" t="n">
        <v>16570</v>
      </c>
      <c r="F11" s="8" t="n">
        <v>25590</v>
      </c>
      <c r="G11" s="8" t="n">
        <v>35400</v>
      </c>
      <c r="H11" s="29" t="n">
        <f aca="false">입력!$B$20</f>
        <v>1</v>
      </c>
      <c r="I11" s="24" t="n">
        <f aca="false">G11*H11</f>
        <v>35400</v>
      </c>
      <c r="J11" s="24" t="n">
        <f aca="false">(SUM(C11:G11)+G11*7)*H11</f>
        <v>338140</v>
      </c>
      <c r="K11" s="24" t="n">
        <f aca="false">J11*입력!$B$24</f>
        <v>638708888.888889</v>
      </c>
      <c r="L11" s="24" t="n">
        <f aca="false">I11*입력!$B$4</f>
        <v>3504600000</v>
      </c>
      <c r="M11" s="24" t="n">
        <f aca="false">L11-L11/(1+입력!$B$5)</f>
        <v>318600000.000001</v>
      </c>
      <c r="N11" s="24" t="n">
        <f aca="false">L11-M11</f>
        <v>3186000000</v>
      </c>
      <c r="O11" s="24" t="n">
        <f aca="false">K11*입력!$B$8</f>
        <v>6387088888.88889</v>
      </c>
      <c r="P11" s="24" t="n">
        <f aca="false">H11*입력!$B$26*(D11-C11+2*(E11-D11)+3*(F11-E11)+4*(G11-F11))*1</f>
        <v>649950000</v>
      </c>
      <c r="Q11" s="24" t="n">
        <f aca="false">N11-P11</f>
        <v>2536050000</v>
      </c>
      <c r="R11" s="24" t="n">
        <f aca="false">I11*입력!$B$10</f>
        <v>0</v>
      </c>
      <c r="S11" s="24" t="n">
        <f aca="false">입력!$B$12+입력!$B$11*IF(C11*H11/B11&gt;=입력!$B$21,11,IF(D11*H11/B11&gt;=입력!$B$21,10,IF(E11*H11/B11&gt;=입력!$B$21,9,IF(F11*H11/B11&gt;=입력!$B$21,8,IF(G11*H11/B11&gt;=입력!$B$21,7,0)))))/12</f>
        <v>42000000</v>
      </c>
      <c r="T11" s="24" t="n">
        <f aca="false">Q11+O11-K11-R11-S11</f>
        <v>8242430000</v>
      </c>
      <c r="U11" s="24" t="n">
        <f aca="false">IF(T11&lt;=0,0,MIN(T11,입력!$B$18)*입력!$B$16+MAX(T11-입력!$B$18,0)*입력!$B$17)</f>
        <v>1546061700</v>
      </c>
      <c r="V11" s="24" t="n">
        <f aca="false">T11-U11</f>
        <v>6696368300</v>
      </c>
      <c r="W11" s="24" t="n">
        <f aca="false">MAX(V11,0)*입력!$B$14</f>
        <v>2082570541.3</v>
      </c>
      <c r="X11" s="24" t="n">
        <f aca="false">MAX(V11,0)*입력!$B$15</f>
        <v>4165141082.6</v>
      </c>
      <c r="Y11" s="24" t="n">
        <f aca="false">V11-X11</f>
        <v>2531227217.4</v>
      </c>
      <c r="Z11" s="24" t="n">
        <f aca="false">V11-W11</f>
        <v>4613797758.7</v>
      </c>
      <c r="AA11" s="24" t="n">
        <f aca="false">N11+O11-K11-R11-S11+입력!$B$13</f>
        <v>8893380000</v>
      </c>
      <c r="AB11" s="13" t="n">
        <f aca="false">B11/$B$15</f>
        <v>0.299475663795423</v>
      </c>
      <c r="AC11" s="23" t="n">
        <f aca="false">AB11*입력!$B$19</f>
        <v>1.71689398053916</v>
      </c>
      <c r="AD11" s="24" t="n">
        <f aca="false">(G11*입력!$B$25-입력!$B$26*(D11-C11+2*(E11-D11)+3*(F11-E11)+4*(G11-F11)))-(SUM(C11:G11)+G11*7)*입력!$B$24</f>
        <v>1897341111.11111</v>
      </c>
      <c r="AE11" s="24" t="n">
        <f aca="false">(SUM(C11:G11)+G11*7)*입력!$B$24</f>
        <v>638708888.888889</v>
      </c>
    </row>
    <row r="12" customFormat="false" ht="15" hidden="false" customHeight="false" outlineLevel="0" collapsed="false">
      <c r="A12" s="7" t="s">
        <v>105</v>
      </c>
      <c r="B12" s="8" t="n">
        <v>109616</v>
      </c>
      <c r="C12" s="8" t="n">
        <v>3490</v>
      </c>
      <c r="D12" s="8" t="n">
        <v>8390</v>
      </c>
      <c r="E12" s="8" t="n">
        <v>15390</v>
      </c>
      <c r="F12" s="8" t="n">
        <v>23770</v>
      </c>
      <c r="G12" s="8" t="n">
        <v>32880</v>
      </c>
      <c r="H12" s="29" t="n">
        <f aca="false">입력!$B$20</f>
        <v>1</v>
      </c>
      <c r="I12" s="24" t="n">
        <f aca="false">G12*H12</f>
        <v>32880</v>
      </c>
      <c r="J12" s="24" t="n">
        <f aca="false">(SUM(C12:G12)+G12*7)*H12</f>
        <v>314080</v>
      </c>
      <c r="K12" s="24" t="n">
        <f aca="false">J12*입력!$B$24</f>
        <v>593262222.222222</v>
      </c>
      <c r="L12" s="24" t="n">
        <f aca="false">I12*입력!$B$4</f>
        <v>3255120000</v>
      </c>
      <c r="M12" s="24" t="n">
        <f aca="false">L12-L12/(1+입력!$B$5)</f>
        <v>295920000.000001</v>
      </c>
      <c r="N12" s="24" t="n">
        <f aca="false">L12-M12</f>
        <v>2959200000</v>
      </c>
      <c r="O12" s="24" t="n">
        <f aca="false">K12*입력!$B$8</f>
        <v>5932622222.22222</v>
      </c>
      <c r="P12" s="24" t="n">
        <f aca="false">H12*입력!$B$26*(D12-C12+2*(E12-D12)+3*(F12-E12)+4*(G12-F12))*1</f>
        <v>603600000</v>
      </c>
      <c r="Q12" s="24" t="n">
        <f aca="false">N12-P12</f>
        <v>2355600000</v>
      </c>
      <c r="R12" s="24" t="n">
        <f aca="false">I12*입력!$B$10</f>
        <v>0</v>
      </c>
      <c r="S12" s="24" t="n">
        <f aca="false">입력!$B$12+입력!$B$11*IF(C12*H12/B12&gt;=입력!$B$21,11,IF(D12*H12/B12&gt;=입력!$B$21,10,IF(E12*H12/B12&gt;=입력!$B$21,9,IF(F12*H12/B12&gt;=입력!$B$21,8,IF(G12*H12/B12&gt;=입력!$B$21,7,0)))))/12</f>
        <v>42000000</v>
      </c>
      <c r="T12" s="24" t="n">
        <f aca="false">Q12+O12-K12-R12-S12</f>
        <v>7652960000</v>
      </c>
      <c r="U12" s="24" t="n">
        <f aca="false">IF(T12&lt;=0,0,MIN(T12,입력!$B$18)*입력!$B$16+MAX(T12-입력!$B$18,0)*입력!$B$17)</f>
        <v>1434062400</v>
      </c>
      <c r="V12" s="24" t="n">
        <f aca="false">T12-U12</f>
        <v>6218897600</v>
      </c>
      <c r="W12" s="24" t="n">
        <f aca="false">MAX(V12,0)*입력!$B$14</f>
        <v>1934077153.6</v>
      </c>
      <c r="X12" s="24" t="n">
        <f aca="false">MAX(V12,0)*입력!$B$15</f>
        <v>3868154307.2</v>
      </c>
      <c r="Y12" s="24" t="n">
        <f aca="false">V12-X12</f>
        <v>2350743292.8</v>
      </c>
      <c r="Z12" s="24" t="n">
        <f aca="false">V12-W12</f>
        <v>4284820446.4</v>
      </c>
      <c r="AA12" s="24" t="n">
        <f aca="false">N12+O12-K12-R12-S12+입력!$B$13</f>
        <v>8257560000</v>
      </c>
      <c r="AB12" s="13" t="n">
        <f aca="false">B12/$B$15</f>
        <v>0.278197664089822</v>
      </c>
      <c r="AC12" s="23" t="n">
        <f aca="false">AB12*입력!$B$19</f>
        <v>1.59490720822695</v>
      </c>
      <c r="AD12" s="24" t="n">
        <f aca="false">(G12*입력!$B$25-입력!$B$26*(D12-C12+2*(E12-D12)+3*(F12-E12)+4*(G12-F12)))-(SUM(C12:G12)+G12*7)*입력!$B$24</f>
        <v>1762337777.77778</v>
      </c>
      <c r="AE12" s="24" t="n">
        <f aca="false">(SUM(C12:G12)+G12*7)*입력!$B$24</f>
        <v>593262222.222222</v>
      </c>
    </row>
    <row r="13" customFormat="false" ht="15" hidden="false" customHeight="false" outlineLevel="0" collapsed="false">
      <c r="A13" s="7" t="s">
        <v>106</v>
      </c>
      <c r="B13" s="8" t="n">
        <v>41000</v>
      </c>
      <c r="C13" s="8" t="n">
        <v>1300</v>
      </c>
      <c r="D13" s="8" t="n">
        <v>3130</v>
      </c>
      <c r="E13" s="8" t="n">
        <v>5760</v>
      </c>
      <c r="F13" s="8" t="n">
        <v>8890</v>
      </c>
      <c r="G13" s="8" t="n">
        <v>12300</v>
      </c>
      <c r="H13" s="29" t="n">
        <f aca="false">입력!$B$20</f>
        <v>1</v>
      </c>
      <c r="I13" s="24" t="n">
        <f aca="false">G13*H13</f>
        <v>12300</v>
      </c>
      <c r="J13" s="24" t="n">
        <f aca="false">(SUM(C13:G13)+G13*7)*H13</f>
        <v>117480</v>
      </c>
      <c r="K13" s="24" t="n">
        <f aca="false">J13*입력!$B$24</f>
        <v>221906666.666667</v>
      </c>
      <c r="L13" s="24" t="n">
        <f aca="false">I13*입력!$B$4</f>
        <v>1217700000</v>
      </c>
      <c r="M13" s="24" t="n">
        <f aca="false">L13-L13/(1+입력!$B$5)</f>
        <v>110700000</v>
      </c>
      <c r="N13" s="24" t="n">
        <f aca="false">L13-M13</f>
        <v>1107000000</v>
      </c>
      <c r="O13" s="24" t="n">
        <f aca="false">K13*입력!$B$8</f>
        <v>2219066666.66667</v>
      </c>
      <c r="P13" s="24" t="n">
        <f aca="false">H13*입력!$B$26*(D13-C13+2*(E13-D13)+3*(F13-E13)+4*(G13-F13))*1</f>
        <v>225900000</v>
      </c>
      <c r="Q13" s="24" t="n">
        <f aca="false">N13-P13</f>
        <v>881100000</v>
      </c>
      <c r="R13" s="24" t="n">
        <f aca="false">I13*입력!$B$10</f>
        <v>0</v>
      </c>
      <c r="S13" s="24" t="n">
        <f aca="false">입력!$B$12+입력!$B$11*IF(C13*H13/B13&gt;=입력!$B$21,11,IF(D13*H13/B13&gt;=입력!$B$21,10,IF(E13*H13/B13&gt;=입력!$B$21,9,IF(F13*H13/B13&gt;=입력!$B$21,8,IF(G13*H13/B13&gt;=입력!$B$21,7,0)))))/12</f>
        <v>42000000</v>
      </c>
      <c r="T13" s="24" t="n">
        <f aca="false">Q13+O13-K13-R13-S13</f>
        <v>2836260000</v>
      </c>
      <c r="U13" s="24" t="n">
        <f aca="false">IF(T13&lt;=0,0,MIN(T13,입력!$B$18)*입력!$B$16+MAX(T13-입력!$B$18,0)*입력!$B$17)</f>
        <v>518889400</v>
      </c>
      <c r="V13" s="24" t="n">
        <f aca="false">T13-U13</f>
        <v>2317370600</v>
      </c>
      <c r="W13" s="24" t="n">
        <f aca="false">MAX(V13,0)*입력!$B$14</f>
        <v>720702256.6</v>
      </c>
      <c r="X13" s="24" t="n">
        <f aca="false">MAX(V13,0)*입력!$B$15</f>
        <v>1441404513.2</v>
      </c>
      <c r="Y13" s="24" t="n">
        <f aca="false">V13-X13</f>
        <v>875966086.8</v>
      </c>
      <c r="Z13" s="24" t="n">
        <f aca="false">V13-W13</f>
        <v>1596668343.4</v>
      </c>
      <c r="AA13" s="24" t="n">
        <f aca="false">N13+O13-K13-R13-S13+입력!$B$13</f>
        <v>3063160000</v>
      </c>
      <c r="AB13" s="13" t="n">
        <f aca="false">B13/$B$15</f>
        <v>0.104055103522138</v>
      </c>
      <c r="AC13" s="23" t="n">
        <f aca="false">AB13*입력!$B$19</f>
        <v>0.596547908492419</v>
      </c>
      <c r="AD13" s="24" t="n">
        <f aca="false">(G13*입력!$B$25-입력!$B$26*(D13-C13+2*(E13-D13)+3*(F13-E13)+4*(G13-F13)))-(SUM(C13:G13)+G13*7)*입력!$B$24</f>
        <v>659193333.333333</v>
      </c>
      <c r="AE13" s="24" t="n">
        <f aca="false">(SUM(C13:G13)+G13*7)*입력!$B$24</f>
        <v>221906666.666667</v>
      </c>
    </row>
    <row r="14" customFormat="false" ht="15" hidden="false" customHeight="false" outlineLevel="0" collapsed="false">
      <c r="A14" s="7" t="s">
        <v>107</v>
      </c>
      <c r="B14" s="8" t="n">
        <v>22000</v>
      </c>
      <c r="C14" s="8" t="n">
        <v>700</v>
      </c>
      <c r="D14" s="8" t="n">
        <v>1680</v>
      </c>
      <c r="E14" s="8" t="n">
        <v>3090</v>
      </c>
      <c r="F14" s="8" t="n">
        <v>4770</v>
      </c>
      <c r="G14" s="8" t="n">
        <v>6600</v>
      </c>
      <c r="H14" s="29" t="n">
        <f aca="false">입력!$B$20</f>
        <v>1</v>
      </c>
      <c r="I14" s="24" t="n">
        <f aca="false">G14*H14</f>
        <v>6600</v>
      </c>
      <c r="J14" s="24" t="n">
        <f aca="false">(SUM(C14:G14)+G14*7)*H14</f>
        <v>63040</v>
      </c>
      <c r="K14" s="24" t="n">
        <f aca="false">J14*입력!$B$24</f>
        <v>119075555.555556</v>
      </c>
      <c r="L14" s="24" t="n">
        <f aca="false">I14*입력!$B$4</f>
        <v>653400000</v>
      </c>
      <c r="M14" s="24" t="n">
        <f aca="false">L14-L14/(1+입력!$B$5)</f>
        <v>59400000</v>
      </c>
      <c r="N14" s="24" t="n">
        <f aca="false">L14-M14</f>
        <v>594000000</v>
      </c>
      <c r="O14" s="24" t="n">
        <f aca="false">K14*입력!$B$8</f>
        <v>1190755555.55556</v>
      </c>
      <c r="P14" s="24" t="n">
        <f aca="false">H14*입력!$B$26*(D14-C14+2*(E14-D14)+3*(F14-E14)+4*(G14-F14))*1</f>
        <v>121200000</v>
      </c>
      <c r="Q14" s="24" t="n">
        <f aca="false">N14-P14</f>
        <v>472800000</v>
      </c>
      <c r="R14" s="24" t="n">
        <f aca="false">I14*입력!$B$10</f>
        <v>0</v>
      </c>
      <c r="S14" s="24" t="n">
        <f aca="false">입력!$B$12+입력!$B$11*IF(C14*H14/B14&gt;=입력!$B$21,11,IF(D14*H14/B14&gt;=입력!$B$21,10,IF(E14*H14/B14&gt;=입력!$B$21,9,IF(F14*H14/B14&gt;=입력!$B$21,8,IF(G14*H14/B14&gt;=입력!$B$21,7,0)))))/12</f>
        <v>42000000</v>
      </c>
      <c r="T14" s="24" t="n">
        <f aca="false">Q14+O14-K14-R14-S14</f>
        <v>1502480000</v>
      </c>
      <c r="U14" s="24" t="n">
        <f aca="false">IF(T14&lt;=0,0,MIN(T14,입력!$B$18)*입력!$B$16+MAX(T14-입력!$B$18,0)*입력!$B$17)</f>
        <v>265471200</v>
      </c>
      <c r="V14" s="24" t="n">
        <f aca="false">T14-U14</f>
        <v>1237008800</v>
      </c>
      <c r="W14" s="24" t="n">
        <f aca="false">MAX(V14,0)*입력!$B$14</f>
        <v>384709736.8</v>
      </c>
      <c r="X14" s="24" t="n">
        <f aca="false">MAX(V14,0)*입력!$B$15</f>
        <v>769419473.6</v>
      </c>
      <c r="Y14" s="24" t="n">
        <f aca="false">V14-X14</f>
        <v>467589326.4</v>
      </c>
      <c r="Z14" s="24" t="n">
        <f aca="false">V14-W14</f>
        <v>852299063.2</v>
      </c>
      <c r="AA14" s="24" t="n">
        <f aca="false">N14+O14-K14-R14-S14+입력!$B$13</f>
        <v>1624680000</v>
      </c>
      <c r="AB14" s="13" t="n">
        <f aca="false">B14/$B$15</f>
        <v>0.0558344457923669</v>
      </c>
      <c r="AC14" s="23" t="n">
        <f aca="false">AB14*입력!$B$19</f>
        <v>0.32009887772764</v>
      </c>
      <c r="AD14" s="24" t="n">
        <f aca="false">(G14*입력!$B$25-입력!$B$26*(D14-C14+2*(E14-D14)+3*(F14-E14)+4*(G14-F14)))-(SUM(C14:G14)+G14*7)*입력!$B$24</f>
        <v>353724444.444444</v>
      </c>
      <c r="AE14" s="24" t="n">
        <f aca="false">(SUM(C14:G14)+G14*7)*입력!$B$24</f>
        <v>119075555.555556</v>
      </c>
    </row>
    <row r="15" customFormat="false" ht="15" hidden="false" customHeight="false" outlineLevel="0" collapsed="false">
      <c r="A15" s="30" t="s">
        <v>108</v>
      </c>
      <c r="B15" s="30" t="n">
        <f aca="false">SUM(B4:B14)</f>
        <v>394022</v>
      </c>
      <c r="C15" s="30"/>
      <c r="D15" s="30"/>
      <c r="E15" s="30"/>
      <c r="F15" s="30"/>
      <c r="G15" s="30"/>
      <c r="H15" s="30"/>
      <c r="I15" s="30" t="n">
        <f aca="false">SUM(I4:I14)</f>
        <v>118120</v>
      </c>
      <c r="J15" s="30" t="n">
        <f aca="false">SUM(J4:J14)</f>
        <v>1128330</v>
      </c>
      <c r="K15" s="30" t="n">
        <f aca="false">SUM(K4:K14)</f>
        <v>2131290000</v>
      </c>
      <c r="L15" s="30" t="n">
        <f aca="false">SUM(L4:L14)</f>
        <v>11693880000</v>
      </c>
      <c r="M15" s="30" t="n">
        <f aca="false">SUM(M4:M14)</f>
        <v>1063080000</v>
      </c>
      <c r="N15" s="30" t="n">
        <f aca="false">SUM(N4:N14)</f>
        <v>10630800000</v>
      </c>
      <c r="O15" s="30" t="n">
        <f aca="false">SUM(O4:O14)</f>
        <v>21312900000</v>
      </c>
      <c r="P15" s="30" t="n">
        <f aca="false">SUM(P4:P14)</f>
        <v>2168325000</v>
      </c>
      <c r="Q15" s="30" t="n">
        <f aca="false">SUM(Q4:Q14)</f>
        <v>8462475000</v>
      </c>
      <c r="R15" s="30" t="n">
        <f aca="false">SUM(R4:R14)</f>
        <v>0</v>
      </c>
      <c r="S15" s="30" t="n">
        <f aca="false">SUM(S4:S14)</f>
        <v>462000000</v>
      </c>
      <c r="T15" s="30" t="n">
        <f aca="false">SUM(T4:T14)</f>
        <v>27182085000</v>
      </c>
      <c r="U15" s="30" t="n">
        <f aca="false">SUM(U4:U14)</f>
        <v>4944596150</v>
      </c>
      <c r="V15" s="30" t="n">
        <f aca="false">SUM(V4:V14)</f>
        <v>22237488850</v>
      </c>
      <c r="W15" s="30" t="n">
        <f aca="false">SUM(W4:W14)</f>
        <v>6915859032.35</v>
      </c>
      <c r="X15" s="30" t="n">
        <f aca="false">SUM(X4:X14)</f>
        <v>13831718064.7</v>
      </c>
      <c r="Y15" s="30" t="n">
        <f aca="false">SUM(Y4:Y14)</f>
        <v>8405770785.3</v>
      </c>
      <c r="Z15" s="30" t="n">
        <f aca="false">SUM(Z4:Z14)</f>
        <v>15321629817.65</v>
      </c>
      <c r="AA15" s="30" t="n">
        <f aca="false">SUM(AA4:AA14)</f>
        <v>29361410000</v>
      </c>
      <c r="AB15" s="30"/>
      <c r="AC15" s="30" t="n">
        <f aca="false">SUM(AC4:AC14)</f>
        <v>5.733</v>
      </c>
      <c r="AD15" s="30"/>
      <c r="AE15" s="30"/>
    </row>
    <row r="17" customFormat="false" ht="15" hidden="false" customHeight="false" outlineLevel="0" collapsed="false">
      <c r="A17" s="6" t="s">
        <v>109</v>
      </c>
    </row>
    <row r="18" customFormat="false" ht="15" hidden="false" customHeight="false" outlineLevel="0" collapsed="false">
      <c r="A18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</cols>
  <sheetData>
    <row r="1" customFormat="false" ht="19.4" hidden="false" customHeight="false" outlineLevel="0" collapsed="false">
      <c r="A1" s="5" t="s">
        <v>111</v>
      </c>
    </row>
    <row r="3" customFormat="false" ht="15" hidden="false" customHeight="false" outlineLevel="0" collapsed="false">
      <c r="A3" s="17" t="s">
        <v>112</v>
      </c>
      <c r="B3" s="31" t="s">
        <v>101</v>
      </c>
    </row>
    <row r="4" customFormat="false" ht="17.15" hidden="false" customHeight="false" outlineLevel="0" collapsed="false">
      <c r="A4" s="18" t="s">
        <v>113</v>
      </c>
      <c r="B4" s="32" t="n">
        <f aca="false">INDEX(직종별!$AD$4:$AD$14,MATCH($B$3,직종별!$A$4:$A$14,0))</f>
        <v>273373333.333333</v>
      </c>
    </row>
    <row r="5" customFormat="false" ht="17.15" hidden="false" customHeight="false" outlineLevel="0" collapsed="false">
      <c r="A5" s="18" t="s">
        <v>114</v>
      </c>
      <c r="B5" s="32" t="n">
        <f aca="false">INDEX(직종별!$AE$4:$AE$14,MATCH($B$3,직종별!$A$4:$A$14,0))</f>
        <v>92026666.6666667</v>
      </c>
    </row>
    <row r="6" customFormat="false" ht="17.15" hidden="false" customHeight="false" outlineLevel="0" collapsed="false">
      <c r="A6" s="18" t="s">
        <v>115</v>
      </c>
      <c r="B6" s="32" t="n">
        <f aca="false">입력!B12+입력!B11*9/12</f>
        <v>42000000</v>
      </c>
    </row>
    <row r="7" customFormat="false" ht="15" hidden="false" customHeight="false" outlineLevel="0" collapsed="false">
      <c r="A7" s="6" t="s">
        <v>116</v>
      </c>
    </row>
    <row r="9" customFormat="false" ht="15" hidden="false" customHeight="false" outlineLevel="0" collapsed="false">
      <c r="A9" s="33" t="s">
        <v>117</v>
      </c>
    </row>
    <row r="10" customFormat="false" ht="15" hidden="false" customHeight="false" outlineLevel="0" collapsed="false">
      <c r="A10" s="34" t="s">
        <v>118</v>
      </c>
      <c r="B10" s="35" t="n">
        <v>1</v>
      </c>
      <c r="C10" s="35" t="n">
        <v>3</v>
      </c>
      <c r="D10" s="35" t="n">
        <v>5</v>
      </c>
      <c r="E10" s="35" t="n">
        <v>10</v>
      </c>
    </row>
    <row r="11" customFormat="false" ht="15" hidden="false" customHeight="false" outlineLevel="0" collapsed="false">
      <c r="A11" s="36" t="n">
        <v>0.2</v>
      </c>
      <c r="B11" s="23" t="n">
        <f aca="false">IF(($A11*($B$4+$B$5*B$10)-$B$6)&lt;=0,($A11*($B$4+$B$5*B$10)-$B$6),($A11*($B$4+$B$5*B$10)-$B$6)-(MIN(($A11*($B$4+$B$5*B$10)-$B$6),입력!$B$18)*입력!$B$16+MAX(($A11*($B$4+$B$5*B$10)-$B$6)-입력!$B$18,0)*입력!$B$17))/100000000</f>
        <v>0.282828</v>
      </c>
      <c r="C11" s="23" t="n">
        <f aca="false">IF(($A11*($B$4+$B$5*C$10)-$B$6)&lt;=0,($A11*($B$4+$B$5*C$10)-$B$6),($A11*($B$4+$B$5*C$10)-$B$6)-(MIN(($A11*($B$4+$B$5*C$10)-$B$6),입력!$B$18)*입력!$B$16+MAX(($A11*($B$4+$B$5*C$10)-$B$6)-입력!$B$18,0)*입력!$B$17))/100000000</f>
        <v>0.617805066666667</v>
      </c>
      <c r="D11" s="23" t="n">
        <f aca="false">IF(($A11*($B$4+$B$5*D$10)-$B$6)&lt;=0,($A11*($B$4+$B$5*D$10)-$B$6),($A11*($B$4+$B$5*D$10)-$B$6)-(MIN(($A11*($B$4+$B$5*D$10)-$B$6),입력!$B$18)*입력!$B$16+MAX(($A11*($B$4+$B$5*D$10)-$B$6)-입력!$B$18,0)*입력!$B$17))/100000000</f>
        <v>0.952782133333333</v>
      </c>
      <c r="E11" s="23" t="n">
        <f aca="false">IF(($A11*($B$4+$B$5*E$10)-$B$6)&lt;=0,($A11*($B$4+$B$5*E$10)-$B$6),($A11*($B$4+$B$5*E$10)-$B$6)-(MIN(($A11*($B$4+$B$5*E$10)-$B$6),입력!$B$18)*입력!$B$16+MAX(($A11*($B$4+$B$5*E$10)-$B$6)-입력!$B$18,0)*입력!$B$17))/100000000</f>
        <v>1.7902248</v>
      </c>
    </row>
    <row r="12" customFormat="false" ht="15" hidden="false" customHeight="false" outlineLevel="0" collapsed="false">
      <c r="A12" s="36" t="n">
        <v>0.5</v>
      </c>
      <c r="B12" s="23" t="n">
        <f aca="false">IF(($A12*($B$4+$B$5*B$10)-$B$6)&lt;=0,($A12*($B$4+$B$5*B$10)-$B$6),($A12*($B$4+$B$5*B$10)-$B$6)-(MIN(($A12*($B$4+$B$5*B$10)-$B$6),입력!$B$18)*입력!$B$16+MAX(($A12*($B$4+$B$5*B$10)-$B$6)-입력!$B$18,0)*입력!$B$17))/100000000</f>
        <v>1.28037</v>
      </c>
      <c r="C12" s="23" t="n">
        <f aca="false">IF(($A12*($B$4+$B$5*C$10)-$B$6)&lt;=0,($A12*($B$4+$B$5*C$10)-$B$6),($A12*($B$4+$B$5*C$10)-$B$6)-(MIN(($A12*($B$4+$B$5*C$10)-$B$6),입력!$B$18)*입력!$B$16+MAX(($A12*($B$4+$B$5*C$10)-$B$6)-입력!$B$18,0)*입력!$B$17))/100000000</f>
        <v>2.085086</v>
      </c>
      <c r="D12" s="23" t="n">
        <f aca="false">IF(($A12*($B$4+$B$5*D$10)-$B$6)&lt;=0,($A12*($B$4+$B$5*D$10)-$B$6),($A12*($B$4+$B$5*D$10)-$B$6)-(MIN(($A12*($B$4+$B$5*D$10)-$B$6),입력!$B$18)*입력!$B$16+MAX(($A12*($B$4+$B$5*D$10)-$B$6)-입력!$B$18,0)*입력!$B$17))/100000000</f>
        <v>2.830502</v>
      </c>
      <c r="E12" s="23" t="n">
        <f aca="false">IF(($A12*($B$4+$B$5*E$10)-$B$6)&lt;=0,($A12*($B$4+$B$5*E$10)-$B$6),($A12*($B$4+$B$5*E$10)-$B$6)-(MIN(($A12*($B$4+$B$5*E$10)-$B$6),입력!$B$18)*입력!$B$16+MAX(($A12*($B$4+$B$5*E$10)-$B$6)-입력!$B$18,0)*입력!$B$17))/100000000</f>
        <v>4.694042</v>
      </c>
    </row>
    <row r="13" customFormat="false" ht="15" hidden="false" customHeight="false" outlineLevel="0" collapsed="false">
      <c r="A13" s="36" t="n">
        <v>1</v>
      </c>
      <c r="B13" s="23" t="n">
        <f aca="false">IF(($A13*($B$4+$B$5*B$10)-$B$6)&lt;=0,($A13*($B$4+$B$5*B$10)-$B$6),($A13*($B$4+$B$5*B$10)-$B$6)-(MIN(($A13*($B$4+$B$5*B$10)-$B$6),입력!$B$18)*입력!$B$16+MAX(($A13*($B$4+$B$5*B$10)-$B$6)-입력!$B$18,0)*입력!$B$17))/100000000</f>
        <v>2.81954</v>
      </c>
      <c r="C13" s="23" t="n">
        <f aca="false">IF(($A13*($B$4+$B$5*C$10)-$B$6)&lt;=0,($A13*($B$4+$B$5*C$10)-$B$6),($A13*($B$4+$B$5*C$10)-$B$6)-(MIN(($A13*($B$4+$B$5*C$10)-$B$6),입력!$B$18)*입력!$B$16+MAX(($A13*($B$4+$B$5*C$10)-$B$6)-입력!$B$18,0)*입력!$B$17))/100000000</f>
        <v>4.310372</v>
      </c>
      <c r="D13" s="23" t="n">
        <f aca="false">IF(($A13*($B$4+$B$5*D$10)-$B$6)&lt;=0,($A13*($B$4+$B$5*D$10)-$B$6),($A13*($B$4+$B$5*D$10)-$B$6)-(MIN(($A13*($B$4+$B$5*D$10)-$B$6),입력!$B$18)*입력!$B$16+MAX(($A13*($B$4+$B$5*D$10)-$B$6)-입력!$B$18,0)*입력!$B$17))/100000000</f>
        <v>5.801204</v>
      </c>
      <c r="E13" s="23" t="n">
        <f aca="false">IF(($A13*($B$4+$B$5*E$10)-$B$6)&lt;=0,($A13*($B$4+$B$5*E$10)-$B$6),($A13*($B$4+$B$5*E$10)-$B$6)-(MIN(($A13*($B$4+$B$5*E$10)-$B$6),입력!$B$18)*입력!$B$16+MAX(($A13*($B$4+$B$5*E$10)-$B$6)-입력!$B$18,0)*입력!$B$17))/100000000</f>
        <v>9.528284</v>
      </c>
    </row>
    <row r="15" customFormat="false" ht="15" hidden="false" customHeight="false" outlineLevel="0" collapsed="false">
      <c r="A15" s="17" t="s">
        <v>119</v>
      </c>
    </row>
    <row r="16" customFormat="false" ht="15" hidden="false" customHeight="false" outlineLevel="0" collapsed="false">
      <c r="A16" s="34" t="s">
        <v>118</v>
      </c>
      <c r="B16" s="35" t="n">
        <v>1</v>
      </c>
      <c r="C16" s="35" t="n">
        <v>3</v>
      </c>
      <c r="D16" s="35" t="n">
        <v>5</v>
      </c>
      <c r="E16" s="35" t="n">
        <v>10</v>
      </c>
    </row>
    <row r="17" customFormat="false" ht="15" hidden="false" customHeight="false" outlineLevel="0" collapsed="false">
      <c r="A17" s="36" t="n">
        <v>0.2</v>
      </c>
      <c r="B17" s="23" t="n">
        <f aca="false">MAX(IF(($A17*($B$4+$B$5*B$16)-$B$6)&lt;=0,($A17*($B$4+$B$5*B$16)-$B$6),($A17*($B$4+$B$5*B$16)-$B$6)-(MIN(($A17*($B$4+$B$5*B$16)-$B$6),입력!$B$18)*입력!$B$16+MAX(($A17*($B$4+$B$5*B$16)-$B$6)-입력!$B$18,0)*입력!$B$17)),0)*입력!$B$14/100000000</f>
        <v>0.087959508</v>
      </c>
      <c r="C17" s="23" t="n">
        <f aca="false">MAX(IF(($A17*($B$4+$B$5*C$16)-$B$6)&lt;=0,($A17*($B$4+$B$5*C$16)-$B$6),($A17*($B$4+$B$5*C$16)-$B$6)-(MIN(($A17*($B$4+$B$5*C$16)-$B$6),입력!$B$18)*입력!$B$16+MAX(($A17*($B$4+$B$5*C$16)-$B$6)-입력!$B$18,0)*입력!$B$17)),0)*입력!$B$14/100000000</f>
        <v>0.192137375733333</v>
      </c>
      <c r="D17" s="23" t="n">
        <f aca="false">MAX(IF(($A17*($B$4+$B$5*D$16)-$B$6)&lt;=0,($A17*($B$4+$B$5*D$16)-$B$6),($A17*($B$4+$B$5*D$16)-$B$6)-(MIN(($A17*($B$4+$B$5*D$16)-$B$6),입력!$B$18)*입력!$B$16+MAX(($A17*($B$4+$B$5*D$16)-$B$6)-입력!$B$18,0)*입력!$B$17)),0)*입력!$B$14/100000000</f>
        <v>0.296315243466667</v>
      </c>
      <c r="E17" s="23" t="n">
        <f aca="false">MAX(IF(($A17*($B$4+$B$5*E$16)-$B$6)&lt;=0,($A17*($B$4+$B$5*E$16)-$B$6),($A17*($B$4+$B$5*E$16)-$B$6)-(MIN(($A17*($B$4+$B$5*E$16)-$B$6),입력!$B$18)*입력!$B$16+MAX(($A17*($B$4+$B$5*E$16)-$B$6)-입력!$B$18,0)*입력!$B$17)),0)*입력!$B$14/100000000</f>
        <v>0.5567599128</v>
      </c>
    </row>
    <row r="18" customFormat="false" ht="15" hidden="false" customHeight="false" outlineLevel="0" collapsed="false">
      <c r="A18" s="36" t="n">
        <v>0.5</v>
      </c>
      <c r="B18" s="23" t="n">
        <f aca="false">MAX(IF(($A18*($B$4+$B$5*B$16)-$B$6)&lt;=0,($A18*($B$4+$B$5*B$16)-$B$6),($A18*($B$4+$B$5*B$16)-$B$6)-(MIN(($A18*($B$4+$B$5*B$16)-$B$6),입력!$B$18)*입력!$B$16+MAX(($A18*($B$4+$B$5*B$16)-$B$6)-입력!$B$18,0)*입력!$B$17)),0)*입력!$B$14/100000000</f>
        <v>0.39819507</v>
      </c>
      <c r="C18" s="23" t="n">
        <f aca="false">MAX(IF(($A18*($B$4+$B$5*C$16)-$B$6)&lt;=0,($A18*($B$4+$B$5*C$16)-$B$6),($A18*($B$4+$B$5*C$16)-$B$6)-(MIN(($A18*($B$4+$B$5*C$16)-$B$6),입력!$B$18)*입력!$B$16+MAX(($A18*($B$4+$B$5*C$16)-$B$6)-입력!$B$18,0)*입력!$B$17)),0)*입력!$B$14/100000000</f>
        <v>0.648461746</v>
      </c>
      <c r="D18" s="23" t="n">
        <f aca="false">MAX(IF(($A18*($B$4+$B$5*D$16)-$B$6)&lt;=0,($A18*($B$4+$B$5*D$16)-$B$6),($A18*($B$4+$B$5*D$16)-$B$6)-(MIN(($A18*($B$4+$B$5*D$16)-$B$6),입력!$B$18)*입력!$B$16+MAX(($A18*($B$4+$B$5*D$16)-$B$6)-입력!$B$18,0)*입력!$B$17)),0)*입력!$B$14/100000000</f>
        <v>0.880286122</v>
      </c>
      <c r="E18" s="23" t="n">
        <f aca="false">MAX(IF(($A18*($B$4+$B$5*E$16)-$B$6)&lt;=0,($A18*($B$4+$B$5*E$16)-$B$6),($A18*($B$4+$B$5*E$16)-$B$6)-(MIN(($A18*($B$4+$B$5*E$16)-$B$6),입력!$B$18)*입력!$B$16+MAX(($A18*($B$4+$B$5*E$16)-$B$6)-입력!$B$18,0)*입력!$B$17)),0)*입력!$B$14/100000000</f>
        <v>1.459847062</v>
      </c>
    </row>
    <row r="19" customFormat="false" ht="15" hidden="false" customHeight="false" outlineLevel="0" collapsed="false">
      <c r="A19" s="36" t="n">
        <v>1</v>
      </c>
      <c r="B19" s="23" t="n">
        <f aca="false">MAX(IF(($A19*($B$4+$B$5*B$16)-$B$6)&lt;=0,($A19*($B$4+$B$5*B$16)-$B$6),($A19*($B$4+$B$5*B$16)-$B$6)-(MIN(($A19*($B$4+$B$5*B$16)-$B$6),입력!$B$18)*입력!$B$16+MAX(($A19*($B$4+$B$5*B$16)-$B$6)-입력!$B$18,0)*입력!$B$17)),0)*입력!$B$14/100000000</f>
        <v>0.87687694</v>
      </c>
      <c r="C19" s="23" t="n">
        <f aca="false">MAX(IF(($A19*($B$4+$B$5*C$16)-$B$6)&lt;=0,($A19*($B$4+$B$5*C$16)-$B$6),($A19*($B$4+$B$5*C$16)-$B$6)-(MIN(($A19*($B$4+$B$5*C$16)-$B$6),입력!$B$18)*입력!$B$16+MAX(($A19*($B$4+$B$5*C$16)-$B$6)-입력!$B$18,0)*입력!$B$17)),0)*입력!$B$14/100000000</f>
        <v>1.340525692</v>
      </c>
      <c r="D19" s="23" t="n">
        <f aca="false">MAX(IF(($A19*($B$4+$B$5*D$16)-$B$6)&lt;=0,($A19*($B$4+$B$5*D$16)-$B$6),($A19*($B$4+$B$5*D$16)-$B$6)-(MIN(($A19*($B$4+$B$5*D$16)-$B$6),입력!$B$18)*입력!$B$16+MAX(($A19*($B$4+$B$5*D$16)-$B$6)-입력!$B$18,0)*입력!$B$17)),0)*입력!$B$14/100000000</f>
        <v>1.804174444</v>
      </c>
      <c r="E19" s="23" t="n">
        <f aca="false">MAX(IF(($A19*($B$4+$B$5*E$16)-$B$6)&lt;=0,($A19*($B$4+$B$5*E$16)-$B$6),($A19*($B$4+$B$5*E$16)-$B$6)-(MIN(($A19*($B$4+$B$5*E$16)-$B$6),입력!$B$18)*입력!$B$16+MAX(($A19*($B$4+$B$5*E$16)-$B$6)-입력!$B$18,0)*입력!$B$17)),0)*입력!$B$14/100000000</f>
        <v>2.963296324</v>
      </c>
    </row>
    <row r="21" customFormat="false" ht="15" hidden="false" customHeight="false" outlineLevel="0" collapsed="false">
      <c r="A21" s="6" t="s">
        <v>120</v>
      </c>
    </row>
  </sheetData>
  <dataValidations count="1">
    <dataValidation allowBlank="false" errorStyle="stop" operator="between" showDropDown="false" showErrorMessage="false" showInputMessage="false" sqref="B3" type="list">
      <formula1>직종별!$A$4:$A$14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2026-10-17T07:50:18Z</dcterms:created>
  <dc:creator>openpyxl</dc:creator>
  <dc:description/>
  <dc:language>en-US</dc:language>
  <cp:lastModifiedBy/>
  <dcterms:modified xsi:type="dcterms:W3CDTF">2026-10-17T07:50:18Z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